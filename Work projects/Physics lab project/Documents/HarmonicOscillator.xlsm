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R files\College\EdPlus\Physics lab project\Documents\"/>
    </mc:Choice>
  </mc:AlternateContent>
  <xr:revisionPtr revIDLastSave="0" documentId="13_ncr:1_{76DD972E-5AD5-46B9-94BB-0B8F39EB4FD0}" xr6:coauthVersionLast="45" xr6:coauthVersionMax="45" xr10:uidLastSave="{00000000-0000-0000-0000-000000000000}"/>
  <bookViews>
    <workbookView xWindow="29790" yWindow="11040" windowWidth="21600" windowHeight="11385" activeTab="1" xr2:uid="{00000000-000D-0000-FFFF-FFFF00000000}"/>
  </bookViews>
  <sheets>
    <sheet name="Euler" sheetId="1" r:id="rId1"/>
    <sheet name="Macro" sheetId="2" r:id="rId2"/>
    <sheet name="F(q)" sheetId="5" r:id="rId3"/>
    <sheet name="Settings" sheetId="4" r:id="rId4"/>
    <sheet name="Params" sheetId="3" r:id="rId5"/>
  </sheets>
  <functionGroups builtInGroupCount="19"/>
  <definedNames>
    <definedName name="_xlnm._FilterDatabase" localSheetId="0" hidden="1">Euler!$A$8:$F$509</definedName>
    <definedName name="b">Macro!$B$4</definedName>
    <definedName name="bb">Macro!$B$5</definedName>
    <definedName name="dt">Macro!$B$3</definedName>
    <definedName name="F0">'F(q)'!$B$4</definedName>
    <definedName name="G">Params!$B$8</definedName>
    <definedName name="k">Macro!$B$2</definedName>
    <definedName name="L">Params!$B$4</definedName>
    <definedName name="M" localSheetId="4">Params!$B$6</definedName>
    <definedName name="m">Macro!$B$1</definedName>
    <definedName name="MyDat">Macro!$A$9</definedName>
    <definedName name="NoiseAmp">Macro!$K$8</definedName>
    <definedName name="Omga">Params!$B$7</definedName>
    <definedName name="Push">Macro!$B$6</definedName>
    <definedName name="rr">Params!$B$10</definedName>
    <definedName name="RRR">Params!$B$9</definedName>
    <definedName name="s">Params!$B$5</definedName>
    <definedName name="Val">Params!$B$4:$B$8</definedName>
    <definedName name="Var">Params!$B$4:$B$8</definedName>
    <definedName name="w">Params!$B$5</definedName>
    <definedName name="X0">'F(q)'!$B$3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9" i="5"/>
  <c r="B10" i="5"/>
  <c r="B11" i="5"/>
  <c r="B7" i="5"/>
  <c r="K19" i="2" l="1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11" i="2"/>
  <c r="I11" i="2" s="1"/>
  <c r="K12" i="2"/>
  <c r="K13" i="2"/>
  <c r="K14" i="2"/>
  <c r="K15" i="2"/>
  <c r="K16" i="2"/>
  <c r="K17" i="2"/>
  <c r="K18" i="2"/>
  <c r="K10" i="2"/>
  <c r="I12" i="2" l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C29" i="3"/>
  <c r="C30" i="3"/>
  <c r="C31" i="3"/>
  <c r="C32" i="3"/>
  <c r="C33" i="3"/>
  <c r="C34" i="3"/>
  <c r="B26" i="3"/>
  <c r="C26" i="3" s="1"/>
  <c r="B27" i="3"/>
  <c r="C27" i="3" s="1"/>
  <c r="B28" i="3"/>
  <c r="C28" i="3" s="1"/>
  <c r="B29" i="3"/>
  <c r="B30" i="3"/>
  <c r="B31" i="3"/>
  <c r="B32" i="3"/>
  <c r="B33" i="3"/>
  <c r="B34" i="3"/>
  <c r="B25" i="3"/>
  <c r="C25" i="3" s="1"/>
  <c r="B13" i="3" l="1"/>
  <c r="B8" i="3"/>
  <c r="B14" i="3" s="1"/>
  <c r="F11" i="2" l="1"/>
  <c r="E11" i="2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E173" i="2" s="1"/>
  <c r="E174" i="2" s="1"/>
  <c r="E175" i="2" s="1"/>
  <c r="E176" i="2" s="1"/>
  <c r="E177" i="2" s="1"/>
  <c r="E178" i="2" s="1"/>
  <c r="E179" i="2" s="1"/>
  <c r="E180" i="2" s="1"/>
  <c r="E181" i="2" s="1"/>
  <c r="E182" i="2" s="1"/>
  <c r="E183" i="2" s="1"/>
  <c r="E184" i="2" s="1"/>
  <c r="E185" i="2" s="1"/>
  <c r="E186" i="2" s="1"/>
  <c r="E187" i="2" s="1"/>
  <c r="E188" i="2" s="1"/>
  <c r="E189" i="2" s="1"/>
  <c r="E190" i="2" s="1"/>
  <c r="E191" i="2" s="1"/>
  <c r="E192" i="2" s="1"/>
  <c r="E193" i="2" s="1"/>
  <c r="E194" i="2" s="1"/>
  <c r="E195" i="2" s="1"/>
  <c r="E196" i="2" s="1"/>
  <c r="E197" i="2" s="1"/>
  <c r="E198" i="2" s="1"/>
  <c r="E199" i="2" s="1"/>
  <c r="E200" i="2" s="1"/>
  <c r="E201" i="2" s="1"/>
  <c r="E202" i="2" s="1"/>
  <c r="E203" i="2" s="1"/>
  <c r="E204" i="2" s="1"/>
  <c r="E205" i="2" s="1"/>
  <c r="E206" i="2" s="1"/>
  <c r="E207" i="2" s="1"/>
  <c r="E208" i="2" s="1"/>
  <c r="E209" i="2" s="1"/>
  <c r="E210" i="2" s="1"/>
  <c r="E211" i="2" s="1"/>
  <c r="E212" i="2" s="1"/>
  <c r="E213" i="2" s="1"/>
  <c r="E214" i="2" s="1"/>
  <c r="E215" i="2" s="1"/>
  <c r="E216" i="2" s="1"/>
  <c r="E217" i="2" s="1"/>
  <c r="E218" i="2" s="1"/>
  <c r="E219" i="2" s="1"/>
  <c r="E220" i="2" s="1"/>
  <c r="E221" i="2" s="1"/>
  <c r="E222" i="2" s="1"/>
  <c r="E223" i="2" s="1"/>
  <c r="E224" i="2" s="1"/>
  <c r="E225" i="2" s="1"/>
  <c r="E226" i="2" s="1"/>
  <c r="E227" i="2" s="1"/>
  <c r="E228" i="2" s="1"/>
  <c r="E229" i="2" s="1"/>
  <c r="E230" i="2" s="1"/>
  <c r="E231" i="2" s="1"/>
  <c r="E232" i="2" s="1"/>
  <c r="E233" i="2" s="1"/>
  <c r="E234" i="2" s="1"/>
  <c r="E235" i="2" s="1"/>
  <c r="E236" i="2" s="1"/>
  <c r="E237" i="2" s="1"/>
  <c r="E238" i="2" s="1"/>
  <c r="E239" i="2" s="1"/>
  <c r="E240" i="2" s="1"/>
  <c r="E241" i="2" s="1"/>
  <c r="E242" i="2" s="1"/>
  <c r="E243" i="2" s="1"/>
  <c r="E244" i="2" s="1"/>
  <c r="E245" i="2" s="1"/>
  <c r="E246" i="2" s="1"/>
  <c r="E247" i="2" s="1"/>
  <c r="E248" i="2" s="1"/>
  <c r="E249" i="2" s="1"/>
  <c r="E250" i="2" s="1"/>
  <c r="E251" i="2" s="1"/>
  <c r="E252" i="2" s="1"/>
  <c r="E253" i="2" s="1"/>
  <c r="E254" i="2" s="1"/>
  <c r="E255" i="2" s="1"/>
  <c r="E256" i="2" s="1"/>
  <c r="E257" i="2" s="1"/>
  <c r="E258" i="2" s="1"/>
  <c r="E259" i="2" s="1"/>
  <c r="E260" i="2" s="1"/>
  <c r="E261" i="2" s="1"/>
  <c r="E262" i="2" s="1"/>
  <c r="E263" i="2" s="1"/>
  <c r="E264" i="2" s="1"/>
  <c r="E265" i="2" s="1"/>
  <c r="E266" i="2" s="1"/>
  <c r="E267" i="2" s="1"/>
  <c r="E268" i="2" s="1"/>
  <c r="E269" i="2" s="1"/>
  <c r="E270" i="2" s="1"/>
  <c r="E271" i="2" s="1"/>
  <c r="E272" i="2" s="1"/>
  <c r="E273" i="2" s="1"/>
  <c r="E274" i="2" s="1"/>
  <c r="E275" i="2" s="1"/>
  <c r="E276" i="2" s="1"/>
  <c r="E277" i="2" s="1"/>
  <c r="E278" i="2" s="1"/>
  <c r="E279" i="2" s="1"/>
  <c r="E280" i="2" s="1"/>
  <c r="E281" i="2" s="1"/>
  <c r="E282" i="2" s="1"/>
  <c r="E283" i="2" s="1"/>
  <c r="E284" i="2" s="1"/>
  <c r="E285" i="2" s="1"/>
  <c r="E286" i="2" s="1"/>
  <c r="E287" i="2" s="1"/>
  <c r="E288" i="2" s="1"/>
  <c r="E289" i="2" s="1"/>
  <c r="E290" i="2" s="1"/>
  <c r="E291" i="2" s="1"/>
  <c r="E292" i="2" s="1"/>
  <c r="E293" i="2" s="1"/>
  <c r="E294" i="2" s="1"/>
  <c r="E295" i="2" s="1"/>
  <c r="E296" i="2" s="1"/>
  <c r="E297" i="2" s="1"/>
  <c r="E298" i="2" s="1"/>
  <c r="E299" i="2" s="1"/>
  <c r="E300" i="2" s="1"/>
  <c r="E301" i="2" s="1"/>
  <c r="E302" i="2" s="1"/>
  <c r="E303" i="2" s="1"/>
  <c r="E304" i="2" s="1"/>
  <c r="E305" i="2" s="1"/>
  <c r="E306" i="2" s="1"/>
  <c r="E307" i="2" s="1"/>
  <c r="E308" i="2" s="1"/>
  <c r="E309" i="2" s="1"/>
  <c r="E310" i="2" s="1"/>
  <c r="E311" i="2" s="1"/>
  <c r="E312" i="2" s="1"/>
  <c r="E313" i="2" s="1"/>
  <c r="E314" i="2" s="1"/>
  <c r="E315" i="2" s="1"/>
  <c r="E316" i="2" s="1"/>
  <c r="E317" i="2" s="1"/>
  <c r="E318" i="2" s="1"/>
  <c r="E319" i="2" s="1"/>
  <c r="E320" i="2" s="1"/>
  <c r="E321" i="2" s="1"/>
  <c r="E322" i="2" s="1"/>
  <c r="E323" i="2" s="1"/>
  <c r="E324" i="2" s="1"/>
  <c r="E325" i="2" s="1"/>
  <c r="E326" i="2" s="1"/>
  <c r="E327" i="2" s="1"/>
  <c r="E328" i="2" s="1"/>
  <c r="E329" i="2" s="1"/>
  <c r="E330" i="2" s="1"/>
  <c r="E331" i="2" s="1"/>
  <c r="E332" i="2" s="1"/>
  <c r="E333" i="2" s="1"/>
  <c r="E334" i="2" s="1"/>
  <c r="E335" i="2" s="1"/>
  <c r="E336" i="2" s="1"/>
  <c r="E337" i="2" s="1"/>
  <c r="E338" i="2" s="1"/>
  <c r="E339" i="2" s="1"/>
  <c r="E340" i="2" s="1"/>
  <c r="E341" i="2" s="1"/>
  <c r="E342" i="2" s="1"/>
  <c r="E343" i="2" s="1"/>
  <c r="E344" i="2" s="1"/>
  <c r="E345" i="2" s="1"/>
  <c r="E346" i="2" s="1"/>
  <c r="E347" i="2" s="1"/>
  <c r="E348" i="2" s="1"/>
  <c r="E349" i="2" s="1"/>
  <c r="E350" i="2" s="1"/>
  <c r="E351" i="2" s="1"/>
  <c r="E352" i="2" s="1"/>
  <c r="E353" i="2" s="1"/>
  <c r="E354" i="2" s="1"/>
  <c r="E355" i="2" s="1"/>
  <c r="E356" i="2" s="1"/>
  <c r="E357" i="2" s="1"/>
  <c r="E358" i="2" s="1"/>
  <c r="E359" i="2" s="1"/>
  <c r="E360" i="2" s="1"/>
  <c r="E361" i="2" s="1"/>
  <c r="E362" i="2" s="1"/>
  <c r="E363" i="2" s="1"/>
  <c r="E364" i="2" s="1"/>
  <c r="E365" i="2" s="1"/>
  <c r="E366" i="2" s="1"/>
  <c r="E367" i="2" s="1"/>
  <c r="E368" i="2" s="1"/>
  <c r="E369" i="2" s="1"/>
  <c r="E370" i="2" s="1"/>
  <c r="E371" i="2" s="1"/>
  <c r="E372" i="2" s="1"/>
  <c r="E373" i="2" s="1"/>
  <c r="E374" i="2" s="1"/>
  <c r="E375" i="2" s="1"/>
  <c r="E376" i="2" s="1"/>
  <c r="E377" i="2" s="1"/>
  <c r="E378" i="2" s="1"/>
  <c r="E379" i="2" s="1"/>
  <c r="E380" i="2" s="1"/>
  <c r="E381" i="2" s="1"/>
  <c r="E382" i="2" s="1"/>
  <c r="E383" i="2" s="1"/>
  <c r="E384" i="2" s="1"/>
  <c r="E385" i="2" s="1"/>
  <c r="E386" i="2" s="1"/>
  <c r="E387" i="2" s="1"/>
  <c r="E388" i="2" s="1"/>
  <c r="E389" i="2" s="1"/>
  <c r="E390" i="2" s="1"/>
  <c r="E391" i="2" s="1"/>
  <c r="E392" i="2" s="1"/>
  <c r="E393" i="2" s="1"/>
  <c r="E394" i="2" s="1"/>
  <c r="E395" i="2" s="1"/>
  <c r="E396" i="2" s="1"/>
  <c r="E397" i="2" s="1"/>
  <c r="E398" i="2" s="1"/>
  <c r="E399" i="2" s="1"/>
  <c r="E400" i="2" s="1"/>
  <c r="E401" i="2" s="1"/>
  <c r="E402" i="2" s="1"/>
  <c r="E403" i="2" s="1"/>
  <c r="E404" i="2" s="1"/>
  <c r="E405" i="2" s="1"/>
  <c r="E406" i="2" s="1"/>
  <c r="E407" i="2" s="1"/>
  <c r="E408" i="2" s="1"/>
  <c r="E409" i="2" s="1"/>
  <c r="E410" i="2" s="1"/>
  <c r="E411" i="2" s="1"/>
  <c r="E412" i="2" s="1"/>
  <c r="E413" i="2" s="1"/>
  <c r="E414" i="2" s="1"/>
  <c r="E415" i="2" s="1"/>
  <c r="E416" i="2" s="1"/>
  <c r="E417" i="2" s="1"/>
  <c r="E418" i="2" s="1"/>
  <c r="E419" i="2" s="1"/>
  <c r="E420" i="2" s="1"/>
  <c r="E421" i="2" s="1"/>
  <c r="E422" i="2" s="1"/>
  <c r="E423" i="2" s="1"/>
  <c r="E424" i="2" s="1"/>
  <c r="E425" i="2" s="1"/>
  <c r="E426" i="2" s="1"/>
  <c r="E427" i="2" s="1"/>
  <c r="E428" i="2" s="1"/>
  <c r="E429" i="2" s="1"/>
  <c r="E430" i="2" s="1"/>
  <c r="E431" i="2" s="1"/>
  <c r="E432" i="2" s="1"/>
  <c r="E433" i="2" s="1"/>
  <c r="E434" i="2" s="1"/>
  <c r="E435" i="2" s="1"/>
  <c r="E436" i="2" s="1"/>
  <c r="E437" i="2" s="1"/>
  <c r="E438" i="2" s="1"/>
  <c r="E439" i="2" s="1"/>
  <c r="E440" i="2" s="1"/>
  <c r="E441" i="2" s="1"/>
  <c r="E442" i="2" s="1"/>
  <c r="E443" i="2" s="1"/>
  <c r="E444" i="2" s="1"/>
  <c r="E445" i="2" s="1"/>
  <c r="E446" i="2" s="1"/>
  <c r="E447" i="2" s="1"/>
  <c r="E448" i="2" s="1"/>
  <c r="E449" i="2" s="1"/>
  <c r="E450" i="2" s="1"/>
  <c r="E451" i="2" s="1"/>
  <c r="E452" i="2" s="1"/>
  <c r="E453" i="2" s="1"/>
  <c r="E454" i="2" s="1"/>
  <c r="E455" i="2" s="1"/>
  <c r="E456" i="2" s="1"/>
  <c r="E457" i="2" s="1"/>
  <c r="E458" i="2" s="1"/>
  <c r="E459" i="2" s="1"/>
  <c r="E460" i="2" s="1"/>
  <c r="E461" i="2" s="1"/>
  <c r="E462" i="2" s="1"/>
  <c r="E463" i="2" s="1"/>
  <c r="E464" i="2" s="1"/>
  <c r="E465" i="2" s="1"/>
  <c r="E466" i="2" s="1"/>
  <c r="E467" i="2" s="1"/>
  <c r="E468" i="2" s="1"/>
  <c r="E469" i="2" s="1"/>
  <c r="E470" i="2" s="1"/>
  <c r="E471" i="2" s="1"/>
  <c r="E472" i="2" s="1"/>
  <c r="E473" i="2" s="1"/>
  <c r="E474" i="2" s="1"/>
  <c r="E475" i="2" s="1"/>
  <c r="E476" i="2" s="1"/>
  <c r="E477" i="2" s="1"/>
  <c r="E478" i="2" s="1"/>
  <c r="E479" i="2" s="1"/>
  <c r="E480" i="2" s="1"/>
  <c r="E481" i="2" s="1"/>
  <c r="E482" i="2" s="1"/>
  <c r="E483" i="2" s="1"/>
  <c r="E484" i="2" s="1"/>
  <c r="E485" i="2" s="1"/>
  <c r="E486" i="2" s="1"/>
  <c r="E487" i="2" s="1"/>
  <c r="E488" i="2" s="1"/>
  <c r="E489" i="2" s="1"/>
  <c r="E490" i="2" s="1"/>
  <c r="E491" i="2" s="1"/>
  <c r="E492" i="2" s="1"/>
  <c r="E493" i="2" s="1"/>
  <c r="E494" i="2" s="1"/>
  <c r="E495" i="2" s="1"/>
  <c r="E496" i="2" s="1"/>
  <c r="E497" i="2" s="1"/>
  <c r="E498" i="2" s="1"/>
  <c r="E499" i="2" s="1"/>
  <c r="E500" i="2" s="1"/>
  <c r="E501" i="2" s="1"/>
  <c r="E502" i="2" s="1"/>
  <c r="E503" i="2" s="1"/>
  <c r="E504" i="2" s="1"/>
  <c r="E505" i="2" s="1"/>
  <c r="E506" i="2" s="1"/>
  <c r="E507" i="2" s="1"/>
  <c r="E508" i="2" s="1"/>
  <c r="E509" i="2" s="1"/>
  <c r="E510" i="2" s="1"/>
  <c r="H10" i="2"/>
  <c r="G11" i="2" s="1"/>
  <c r="F12" i="2" l="1"/>
  <c r="E209" i="1"/>
  <c r="E184" i="1"/>
  <c r="E159" i="1"/>
  <c r="E134" i="1"/>
  <c r="E109" i="1"/>
  <c r="E84" i="1"/>
  <c r="E59" i="1"/>
  <c r="E34" i="1"/>
  <c r="D9" i="1"/>
  <c r="E10" i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H11" i="2" l="1"/>
  <c r="G12" i="2" s="1"/>
  <c r="E35" i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E202" i="1" s="1"/>
  <c r="E203" i="1" s="1"/>
  <c r="E204" i="1" s="1"/>
  <c r="E205" i="1" s="1"/>
  <c r="E206" i="1" s="1"/>
  <c r="E207" i="1" s="1"/>
  <c r="E208" i="1" s="1"/>
  <c r="E210" i="1" s="1"/>
  <c r="E211" i="1" s="1"/>
  <c r="E212" i="1" s="1"/>
  <c r="E213" i="1" s="1"/>
  <c r="E214" i="1" s="1"/>
  <c r="E215" i="1" s="1"/>
  <c r="E216" i="1" s="1"/>
  <c r="E217" i="1" s="1"/>
  <c r="E218" i="1" s="1"/>
  <c r="E219" i="1" s="1"/>
  <c r="E220" i="1" s="1"/>
  <c r="E221" i="1" s="1"/>
  <c r="E222" i="1" s="1"/>
  <c r="E223" i="1" s="1"/>
  <c r="E224" i="1" s="1"/>
  <c r="E225" i="1" s="1"/>
  <c r="E226" i="1" s="1"/>
  <c r="E227" i="1" s="1"/>
  <c r="E228" i="1" s="1"/>
  <c r="E229" i="1" s="1"/>
  <c r="E230" i="1" s="1"/>
  <c r="E231" i="1" s="1"/>
  <c r="E232" i="1" s="1"/>
  <c r="E233" i="1" s="1"/>
  <c r="E235" i="1" s="1"/>
  <c r="E236" i="1" s="1"/>
  <c r="E237" i="1" s="1"/>
  <c r="E238" i="1" s="1"/>
  <c r="E239" i="1" s="1"/>
  <c r="E240" i="1" s="1"/>
  <c r="E241" i="1" s="1"/>
  <c r="E242" i="1" s="1"/>
  <c r="E243" i="1" s="1"/>
  <c r="E244" i="1" s="1"/>
  <c r="E245" i="1" s="1"/>
  <c r="E246" i="1" s="1"/>
  <c r="E247" i="1" s="1"/>
  <c r="E248" i="1" s="1"/>
  <c r="E249" i="1" s="1"/>
  <c r="E250" i="1" s="1"/>
  <c r="E251" i="1" s="1"/>
  <c r="E252" i="1" s="1"/>
  <c r="E253" i="1" s="1"/>
  <c r="E254" i="1" s="1"/>
  <c r="E255" i="1" s="1"/>
  <c r="E256" i="1" s="1"/>
  <c r="E257" i="1" s="1"/>
  <c r="E258" i="1" s="1"/>
  <c r="E259" i="1" s="1"/>
  <c r="E260" i="1" s="1"/>
  <c r="E261" i="1" s="1"/>
  <c r="E262" i="1" s="1"/>
  <c r="E263" i="1" s="1"/>
  <c r="E264" i="1" s="1"/>
  <c r="E265" i="1" s="1"/>
  <c r="E266" i="1" s="1"/>
  <c r="E267" i="1" s="1"/>
  <c r="E268" i="1" s="1"/>
  <c r="E269" i="1" s="1"/>
  <c r="E270" i="1" s="1"/>
  <c r="E271" i="1" s="1"/>
  <c r="E272" i="1" s="1"/>
  <c r="E273" i="1" s="1"/>
  <c r="E274" i="1" s="1"/>
  <c r="E275" i="1" s="1"/>
  <c r="E276" i="1" s="1"/>
  <c r="E277" i="1" s="1"/>
  <c r="E278" i="1" s="1"/>
  <c r="E279" i="1" s="1"/>
  <c r="E280" i="1" s="1"/>
  <c r="E281" i="1" s="1"/>
  <c r="E282" i="1" s="1"/>
  <c r="E283" i="1" s="1"/>
  <c r="E284" i="1" s="1"/>
  <c r="E285" i="1" s="1"/>
  <c r="E286" i="1" s="1"/>
  <c r="E287" i="1" s="1"/>
  <c r="E288" i="1" s="1"/>
  <c r="E289" i="1" s="1"/>
  <c r="E290" i="1" s="1"/>
  <c r="E291" i="1" s="1"/>
  <c r="E292" i="1" s="1"/>
  <c r="E293" i="1" s="1"/>
  <c r="E294" i="1" s="1"/>
  <c r="E295" i="1" s="1"/>
  <c r="E296" i="1" s="1"/>
  <c r="E297" i="1" s="1"/>
  <c r="E298" i="1" s="1"/>
  <c r="E299" i="1" s="1"/>
  <c r="E300" i="1" s="1"/>
  <c r="E301" i="1" s="1"/>
  <c r="E302" i="1" s="1"/>
  <c r="E303" i="1" s="1"/>
  <c r="E304" i="1" s="1"/>
  <c r="E305" i="1" s="1"/>
  <c r="E306" i="1" s="1"/>
  <c r="E307" i="1" s="1"/>
  <c r="E308" i="1" s="1"/>
  <c r="E309" i="1" s="1"/>
  <c r="E310" i="1" s="1"/>
  <c r="E311" i="1" s="1"/>
  <c r="E312" i="1" s="1"/>
  <c r="E313" i="1" s="1"/>
  <c r="E314" i="1" s="1"/>
  <c r="E315" i="1" s="1"/>
  <c r="E316" i="1" s="1"/>
  <c r="E317" i="1" s="1"/>
  <c r="E318" i="1" s="1"/>
  <c r="E319" i="1" s="1"/>
  <c r="E320" i="1" s="1"/>
  <c r="E321" i="1" s="1"/>
  <c r="E322" i="1" s="1"/>
  <c r="E323" i="1" s="1"/>
  <c r="E324" i="1" s="1"/>
  <c r="E325" i="1" s="1"/>
  <c r="E326" i="1" s="1"/>
  <c r="E327" i="1" s="1"/>
  <c r="E328" i="1" s="1"/>
  <c r="E329" i="1" s="1"/>
  <c r="E330" i="1" s="1"/>
  <c r="E331" i="1" s="1"/>
  <c r="E332" i="1" s="1"/>
  <c r="E333" i="1" s="1"/>
  <c r="E334" i="1" s="1"/>
  <c r="E335" i="1" s="1"/>
  <c r="E336" i="1" s="1"/>
  <c r="E337" i="1" s="1"/>
  <c r="E338" i="1" s="1"/>
  <c r="E339" i="1" s="1"/>
  <c r="E340" i="1" s="1"/>
  <c r="E341" i="1" s="1"/>
  <c r="E342" i="1" s="1"/>
  <c r="E343" i="1" s="1"/>
  <c r="E344" i="1" s="1"/>
  <c r="E345" i="1" s="1"/>
  <c r="E346" i="1" s="1"/>
  <c r="E347" i="1" s="1"/>
  <c r="E348" i="1" s="1"/>
  <c r="E349" i="1" s="1"/>
  <c r="E350" i="1" s="1"/>
  <c r="E351" i="1" s="1"/>
  <c r="E352" i="1" s="1"/>
  <c r="E353" i="1" s="1"/>
  <c r="E354" i="1" s="1"/>
  <c r="E355" i="1" s="1"/>
  <c r="E356" i="1" s="1"/>
  <c r="E357" i="1" s="1"/>
  <c r="E358" i="1" s="1"/>
  <c r="E359" i="1" s="1"/>
  <c r="E360" i="1" s="1"/>
  <c r="E361" i="1" s="1"/>
  <c r="E362" i="1" s="1"/>
  <c r="E363" i="1" s="1"/>
  <c r="E364" i="1" s="1"/>
  <c r="E365" i="1" s="1"/>
  <c r="E366" i="1" s="1"/>
  <c r="E367" i="1" s="1"/>
  <c r="E368" i="1" s="1"/>
  <c r="E369" i="1" s="1"/>
  <c r="E370" i="1" s="1"/>
  <c r="E371" i="1" s="1"/>
  <c r="E372" i="1" s="1"/>
  <c r="E373" i="1" s="1"/>
  <c r="E374" i="1" s="1"/>
  <c r="E375" i="1" s="1"/>
  <c r="E376" i="1" s="1"/>
  <c r="E377" i="1" s="1"/>
  <c r="E378" i="1" s="1"/>
  <c r="E379" i="1" s="1"/>
  <c r="E380" i="1" s="1"/>
  <c r="E381" i="1" s="1"/>
  <c r="E382" i="1" s="1"/>
  <c r="E383" i="1" s="1"/>
  <c r="E384" i="1" s="1"/>
  <c r="E385" i="1" s="1"/>
  <c r="E386" i="1" s="1"/>
  <c r="E387" i="1" s="1"/>
  <c r="E388" i="1" s="1"/>
  <c r="E389" i="1" s="1"/>
  <c r="E390" i="1" s="1"/>
  <c r="E391" i="1" s="1"/>
  <c r="E392" i="1" s="1"/>
  <c r="E393" i="1" s="1"/>
  <c r="E394" i="1" s="1"/>
  <c r="E395" i="1" s="1"/>
  <c r="E396" i="1" s="1"/>
  <c r="E397" i="1" s="1"/>
  <c r="E398" i="1" s="1"/>
  <c r="E399" i="1" s="1"/>
  <c r="E400" i="1" s="1"/>
  <c r="E401" i="1" s="1"/>
  <c r="E402" i="1" s="1"/>
  <c r="E403" i="1" s="1"/>
  <c r="E404" i="1" s="1"/>
  <c r="E405" i="1" s="1"/>
  <c r="E406" i="1" s="1"/>
  <c r="E407" i="1" s="1"/>
  <c r="E408" i="1" s="1"/>
  <c r="E409" i="1" s="1"/>
  <c r="E410" i="1" s="1"/>
  <c r="E411" i="1" s="1"/>
  <c r="E412" i="1" s="1"/>
  <c r="E413" i="1" s="1"/>
  <c r="E414" i="1" s="1"/>
  <c r="E415" i="1" s="1"/>
  <c r="E416" i="1" s="1"/>
  <c r="E417" i="1" s="1"/>
  <c r="E418" i="1" s="1"/>
  <c r="E419" i="1" s="1"/>
  <c r="E420" i="1" s="1"/>
  <c r="E421" i="1" s="1"/>
  <c r="E422" i="1" s="1"/>
  <c r="E423" i="1" s="1"/>
  <c r="E424" i="1" s="1"/>
  <c r="E425" i="1" s="1"/>
  <c r="E426" i="1" s="1"/>
  <c r="E427" i="1" s="1"/>
  <c r="E428" i="1" s="1"/>
  <c r="E429" i="1" s="1"/>
  <c r="E430" i="1" s="1"/>
  <c r="E431" i="1" s="1"/>
  <c r="E432" i="1" s="1"/>
  <c r="E433" i="1" s="1"/>
  <c r="E434" i="1" s="1"/>
  <c r="E435" i="1" s="1"/>
  <c r="E436" i="1" s="1"/>
  <c r="E437" i="1" s="1"/>
  <c r="E438" i="1" s="1"/>
  <c r="E439" i="1" s="1"/>
  <c r="E440" i="1" s="1"/>
  <c r="E441" i="1" s="1"/>
  <c r="E442" i="1" s="1"/>
  <c r="E443" i="1" s="1"/>
  <c r="E444" i="1" s="1"/>
  <c r="E445" i="1" s="1"/>
  <c r="E446" i="1" s="1"/>
  <c r="E447" i="1" s="1"/>
  <c r="E448" i="1" s="1"/>
  <c r="E449" i="1" s="1"/>
  <c r="E450" i="1" s="1"/>
  <c r="E451" i="1" s="1"/>
  <c r="E452" i="1" s="1"/>
  <c r="E453" i="1" s="1"/>
  <c r="E454" i="1" s="1"/>
  <c r="E455" i="1" s="1"/>
  <c r="E456" i="1" s="1"/>
  <c r="E457" i="1" s="1"/>
  <c r="E458" i="1" s="1"/>
  <c r="E459" i="1" s="1"/>
  <c r="E460" i="1" s="1"/>
  <c r="E461" i="1" s="1"/>
  <c r="E462" i="1" s="1"/>
  <c r="E463" i="1" s="1"/>
  <c r="E464" i="1" s="1"/>
  <c r="E465" i="1" s="1"/>
  <c r="E466" i="1" s="1"/>
  <c r="E467" i="1" s="1"/>
  <c r="E468" i="1" s="1"/>
  <c r="E469" i="1" s="1"/>
  <c r="E470" i="1" s="1"/>
  <c r="E471" i="1" s="1"/>
  <c r="E472" i="1" s="1"/>
  <c r="E473" i="1" s="1"/>
  <c r="E474" i="1" s="1"/>
  <c r="E475" i="1" s="1"/>
  <c r="E476" i="1" s="1"/>
  <c r="E477" i="1" s="1"/>
  <c r="E478" i="1" s="1"/>
  <c r="E479" i="1" s="1"/>
  <c r="E480" i="1" s="1"/>
  <c r="E481" i="1" s="1"/>
  <c r="E482" i="1" s="1"/>
  <c r="E483" i="1" s="1"/>
  <c r="E484" i="1" s="1"/>
  <c r="E485" i="1" s="1"/>
  <c r="E486" i="1" s="1"/>
  <c r="E487" i="1" s="1"/>
  <c r="E488" i="1" s="1"/>
  <c r="E489" i="1" s="1"/>
  <c r="E490" i="1" s="1"/>
  <c r="E491" i="1" s="1"/>
  <c r="E492" i="1" s="1"/>
  <c r="E493" i="1" s="1"/>
  <c r="E494" i="1" s="1"/>
  <c r="E495" i="1" s="1"/>
  <c r="E496" i="1" s="1"/>
  <c r="E497" i="1" s="1"/>
  <c r="E498" i="1" s="1"/>
  <c r="E499" i="1" s="1"/>
  <c r="E500" i="1" s="1"/>
  <c r="E501" i="1" s="1"/>
  <c r="E502" i="1" s="1"/>
  <c r="E503" i="1" s="1"/>
  <c r="E504" i="1" s="1"/>
  <c r="E505" i="1" s="1"/>
  <c r="E506" i="1" s="1"/>
  <c r="E507" i="1" s="1"/>
  <c r="E508" i="1" s="1"/>
  <c r="E509" i="1" s="1"/>
  <c r="C10" i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B10" i="1"/>
  <c r="F13" i="2" l="1"/>
  <c r="D10" i="1"/>
  <c r="C11" i="1" s="1"/>
  <c r="A40" i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B11" i="1"/>
  <c r="H12" i="2" l="1"/>
  <c r="G13" i="2" s="1"/>
  <c r="D11" i="1"/>
  <c r="C12" i="1" s="1"/>
  <c r="B12" i="1"/>
  <c r="F14" i="2" l="1"/>
  <c r="H13" i="2"/>
  <c r="D12" i="1"/>
  <c r="C13" i="1" s="1"/>
  <c r="B13" i="1"/>
  <c r="G14" i="2" l="1"/>
  <c r="H14" i="2" s="1"/>
  <c r="D13" i="1"/>
  <c r="C14" i="1" s="1"/>
  <c r="B14" i="1"/>
  <c r="F15" i="2" l="1"/>
  <c r="G15" i="2" s="1"/>
  <c r="D14" i="1"/>
  <c r="C15" i="1" s="1"/>
  <c r="B15" i="1"/>
  <c r="H15" i="2" l="1"/>
  <c r="F16" i="2"/>
  <c r="D15" i="1"/>
  <c r="C16" i="1" s="1"/>
  <c r="B16" i="1"/>
  <c r="G16" i="2" l="1"/>
  <c r="F17" i="2" s="1"/>
  <c r="D16" i="1"/>
  <c r="C17" i="1" s="1"/>
  <c r="B17" i="1"/>
  <c r="H16" i="2" l="1"/>
  <c r="G17" i="2" s="1"/>
  <c r="D17" i="1"/>
  <c r="C18" i="1" s="1"/>
  <c r="B18" i="1"/>
  <c r="F18" i="2" l="1"/>
  <c r="H17" i="2"/>
  <c r="D18" i="1"/>
  <c r="C19" i="1" s="1"/>
  <c r="B19" i="1"/>
  <c r="G18" i="2" l="1"/>
  <c r="D19" i="1"/>
  <c r="C20" i="1" s="1"/>
  <c r="B20" i="1"/>
  <c r="F19" i="2" l="1"/>
  <c r="H18" i="2"/>
  <c r="D20" i="1"/>
  <c r="C21" i="1" s="1"/>
  <c r="B21" i="1"/>
  <c r="G19" i="2" l="1"/>
  <c r="H19" i="2" s="1"/>
  <c r="D21" i="1"/>
  <c r="C22" i="1" s="1"/>
  <c r="B22" i="1"/>
  <c r="F20" i="2" l="1"/>
  <c r="G20" i="2" s="1"/>
  <c r="D22" i="1"/>
  <c r="C23" i="1" s="1"/>
  <c r="B23" i="1"/>
  <c r="F21" i="2" l="1"/>
  <c r="H20" i="2"/>
  <c r="D23" i="1"/>
  <c r="C24" i="1" s="1"/>
  <c r="B24" i="1"/>
  <c r="G21" i="2" l="1"/>
  <c r="H21" i="2" s="1"/>
  <c r="D24" i="1"/>
  <c r="C25" i="1" s="1"/>
  <c r="B25" i="1"/>
  <c r="F22" i="2" l="1"/>
  <c r="D25" i="1"/>
  <c r="C26" i="1" s="1"/>
  <c r="B26" i="1"/>
  <c r="G22" i="2" l="1"/>
  <c r="F23" i="2" s="1"/>
  <c r="D26" i="1"/>
  <c r="C27" i="1" s="1"/>
  <c r="B27" i="1"/>
  <c r="H22" i="2" l="1"/>
  <c r="G23" i="2" s="1"/>
  <c r="D27" i="1"/>
  <c r="C28" i="1" s="1"/>
  <c r="B28" i="1"/>
  <c r="F24" i="2" l="1"/>
  <c r="H23" i="2"/>
  <c r="D28" i="1"/>
  <c r="C29" i="1" s="1"/>
  <c r="B29" i="1"/>
  <c r="G24" i="2" l="1"/>
  <c r="H24" i="2" s="1"/>
  <c r="D29" i="1"/>
  <c r="C30" i="1" s="1"/>
  <c r="B30" i="1"/>
  <c r="F25" i="2" l="1"/>
  <c r="G25" i="2" s="1"/>
  <c r="H25" i="2" s="1"/>
  <c r="D30" i="1"/>
  <c r="C31" i="1" s="1"/>
  <c r="B31" i="1"/>
  <c r="F26" i="2" l="1"/>
  <c r="G26" i="2" s="1"/>
  <c r="F27" i="2" s="1"/>
  <c r="D31" i="1"/>
  <c r="C32" i="1" s="1"/>
  <c r="B32" i="1"/>
  <c r="H26" i="2" l="1"/>
  <c r="D32" i="1"/>
  <c r="C33" i="1" s="1"/>
  <c r="B33" i="1"/>
  <c r="G27" i="2" l="1"/>
  <c r="F28" i="2" s="1"/>
  <c r="D33" i="1"/>
  <c r="C34" i="1" s="1"/>
  <c r="B34" i="1"/>
  <c r="H27" i="2" l="1"/>
  <c r="G28" i="2" s="1"/>
  <c r="D34" i="1"/>
  <c r="C35" i="1" s="1"/>
  <c r="B35" i="1"/>
  <c r="F29" i="2" l="1"/>
  <c r="H28" i="2"/>
  <c r="D35" i="1"/>
  <c r="C36" i="1" s="1"/>
  <c r="B36" i="1"/>
  <c r="G29" i="2" l="1"/>
  <c r="D36" i="1"/>
  <c r="C37" i="1" s="1"/>
  <c r="B37" i="1"/>
  <c r="F30" i="2" l="1"/>
  <c r="H29" i="2"/>
  <c r="D37" i="1"/>
  <c r="C38" i="1" s="1"/>
  <c r="B38" i="1"/>
  <c r="G30" i="2" l="1"/>
  <c r="D38" i="1"/>
  <c r="C39" i="1" s="1"/>
  <c r="B39" i="1"/>
  <c r="F31" i="2" l="1"/>
  <c r="H30" i="2"/>
  <c r="D39" i="1"/>
  <c r="C40" i="1" s="1"/>
  <c r="B40" i="1"/>
  <c r="G31" i="2" l="1"/>
  <c r="D40" i="1"/>
  <c r="C41" i="1" s="1"/>
  <c r="B41" i="1"/>
  <c r="F32" i="2" l="1"/>
  <c r="H31" i="2"/>
  <c r="D41" i="1"/>
  <c r="C42" i="1" s="1"/>
  <c r="B42" i="1"/>
  <c r="G32" i="2" l="1"/>
  <c r="H32" i="2" s="1"/>
  <c r="D42" i="1"/>
  <c r="C43" i="1" s="1"/>
  <c r="B43" i="1"/>
  <c r="F33" i="2" l="1"/>
  <c r="G33" i="2" s="1"/>
  <c r="F34" i="2" s="1"/>
  <c r="D43" i="1"/>
  <c r="C44" i="1" s="1"/>
  <c r="B44" i="1"/>
  <c r="H33" i="2" l="1"/>
  <c r="G34" i="2" s="1"/>
  <c r="H34" i="2" s="1"/>
  <c r="D44" i="1"/>
  <c r="C45" i="1" s="1"/>
  <c r="B45" i="1"/>
  <c r="F35" i="2" l="1"/>
  <c r="G35" i="2" s="1"/>
  <c r="F36" i="2" s="1"/>
  <c r="D45" i="1"/>
  <c r="C46" i="1" s="1"/>
  <c r="B46" i="1"/>
  <c r="H35" i="2" l="1"/>
  <c r="G36" i="2" s="1"/>
  <c r="F37" i="2" s="1"/>
  <c r="D46" i="1"/>
  <c r="C47" i="1" s="1"/>
  <c r="B47" i="1"/>
  <c r="H36" i="2" l="1"/>
  <c r="G37" i="2" s="1"/>
  <c r="H37" i="2" s="1"/>
  <c r="D47" i="1"/>
  <c r="C48" i="1" s="1"/>
  <c r="B48" i="1"/>
  <c r="F38" i="2" l="1"/>
  <c r="G38" i="2" s="1"/>
  <c r="H38" i="2" s="1"/>
  <c r="D48" i="1"/>
  <c r="C49" i="1" s="1"/>
  <c r="B49" i="1"/>
  <c r="F39" i="2" l="1"/>
  <c r="G39" i="2" s="1"/>
  <c r="H39" i="2" s="1"/>
  <c r="D49" i="1"/>
  <c r="C50" i="1" s="1"/>
  <c r="B50" i="1"/>
  <c r="F40" i="2" l="1"/>
  <c r="G40" i="2" s="1"/>
  <c r="D50" i="1"/>
  <c r="C51" i="1" s="1"/>
  <c r="B51" i="1"/>
  <c r="F41" i="2" l="1"/>
  <c r="H40" i="2"/>
  <c r="D51" i="1"/>
  <c r="C52" i="1" s="1"/>
  <c r="B52" i="1"/>
  <c r="G41" i="2" l="1"/>
  <c r="F42" i="2" s="1"/>
  <c r="D52" i="1"/>
  <c r="C53" i="1" s="1"/>
  <c r="B53" i="1"/>
  <c r="H41" i="2" l="1"/>
  <c r="G42" i="2" s="1"/>
  <c r="H42" i="2" s="1"/>
  <c r="D53" i="1"/>
  <c r="C54" i="1" s="1"/>
  <c r="B54" i="1"/>
  <c r="F43" i="2" l="1"/>
  <c r="G43" i="2" s="1"/>
  <c r="F44" i="2" s="1"/>
  <c r="D54" i="1"/>
  <c r="C55" i="1" s="1"/>
  <c r="B55" i="1"/>
  <c r="H43" i="2" l="1"/>
  <c r="G44" i="2"/>
  <c r="H44" i="2" s="1"/>
  <c r="D55" i="1"/>
  <c r="C56" i="1" s="1"/>
  <c r="B56" i="1"/>
  <c r="F45" i="2" l="1"/>
  <c r="D56" i="1"/>
  <c r="C57" i="1" s="1"/>
  <c r="B57" i="1"/>
  <c r="G45" i="2" l="1"/>
  <c r="H45" i="2" s="1"/>
  <c r="D57" i="1"/>
  <c r="C58" i="1" s="1"/>
  <c r="B58" i="1"/>
  <c r="F46" i="2" l="1"/>
  <c r="D58" i="1"/>
  <c r="C59" i="1" s="1"/>
  <c r="B59" i="1"/>
  <c r="G46" i="2" l="1"/>
  <c r="F47" i="2" s="1"/>
  <c r="F8" i="2"/>
  <c r="D59" i="1"/>
  <c r="C60" i="1" s="1"/>
  <c r="B60" i="1"/>
  <c r="H46" i="2" l="1"/>
  <c r="G47" i="2" s="1"/>
  <c r="H47" i="2" s="1"/>
  <c r="D60" i="1"/>
  <c r="C61" i="1" s="1"/>
  <c r="B61" i="1"/>
  <c r="F48" i="2" l="1"/>
  <c r="D61" i="1"/>
  <c r="C62" i="1" s="1"/>
  <c r="B62" i="1"/>
  <c r="G48" i="2" l="1"/>
  <c r="H48" i="2" s="1"/>
  <c r="D62" i="1"/>
  <c r="C63" i="1" s="1"/>
  <c r="B63" i="1"/>
  <c r="F49" i="2" l="1"/>
  <c r="G49" i="2" s="1"/>
  <c r="D63" i="1"/>
  <c r="C64" i="1" s="1"/>
  <c r="B64" i="1"/>
  <c r="F50" i="2" l="1"/>
  <c r="H49" i="2"/>
  <c r="D64" i="1"/>
  <c r="C65" i="1" s="1"/>
  <c r="B65" i="1"/>
  <c r="G50" i="2" l="1"/>
  <c r="F51" i="2" s="1"/>
  <c r="D65" i="1"/>
  <c r="C66" i="1" s="1"/>
  <c r="B66" i="1"/>
  <c r="H50" i="2" l="1"/>
  <c r="G51" i="2"/>
  <c r="F52" i="2" s="1"/>
  <c r="D66" i="1"/>
  <c r="C67" i="1" s="1"/>
  <c r="B67" i="1"/>
  <c r="H51" i="2" l="1"/>
  <c r="G52" i="2" s="1"/>
  <c r="H52" i="2" s="1"/>
  <c r="D67" i="1"/>
  <c r="C68" i="1" s="1"/>
  <c r="B68" i="1"/>
  <c r="F53" i="2" l="1"/>
  <c r="G53" i="2" s="1"/>
  <c r="F54" i="2" s="1"/>
  <c r="D68" i="1"/>
  <c r="C69" i="1" s="1"/>
  <c r="B69" i="1"/>
  <c r="H53" i="2" l="1"/>
  <c r="G54" i="2" s="1"/>
  <c r="F55" i="2" s="1"/>
  <c r="D69" i="1"/>
  <c r="C70" i="1" s="1"/>
  <c r="B70" i="1"/>
  <c r="H54" i="2" l="1"/>
  <c r="G55" i="2" s="1"/>
  <c r="F56" i="2" s="1"/>
  <c r="D70" i="1"/>
  <c r="C71" i="1" s="1"/>
  <c r="B71" i="1"/>
  <c r="H55" i="2" l="1"/>
  <c r="G56" i="2"/>
  <c r="F57" i="2" s="1"/>
  <c r="D71" i="1"/>
  <c r="C72" i="1" s="1"/>
  <c r="B72" i="1"/>
  <c r="H56" i="2" l="1"/>
  <c r="G57" i="2" s="1"/>
  <c r="H57" i="2" s="1"/>
  <c r="D72" i="1"/>
  <c r="C73" i="1" s="1"/>
  <c r="B73" i="1"/>
  <c r="F58" i="2" l="1"/>
  <c r="G58" i="2" s="1"/>
  <c r="F59" i="2" s="1"/>
  <c r="D73" i="1"/>
  <c r="C74" i="1" s="1"/>
  <c r="B74" i="1"/>
  <c r="H58" i="2" l="1"/>
  <c r="G59" i="2" s="1"/>
  <c r="F60" i="2" s="1"/>
  <c r="D74" i="1"/>
  <c r="C75" i="1" s="1"/>
  <c r="B75" i="1"/>
  <c r="H59" i="2" l="1"/>
  <c r="G60" i="2"/>
  <c r="H60" i="2" s="1"/>
  <c r="D75" i="1"/>
  <c r="C76" i="1" s="1"/>
  <c r="B76" i="1"/>
  <c r="F61" i="2" l="1"/>
  <c r="G61" i="2" s="1"/>
  <c r="F62" i="2" s="1"/>
  <c r="D76" i="1"/>
  <c r="C77" i="1" s="1"/>
  <c r="B77" i="1"/>
  <c r="H61" i="2" l="1"/>
  <c r="G62" i="2" s="1"/>
  <c r="D77" i="1"/>
  <c r="C78" i="1" s="1"/>
  <c r="B78" i="1"/>
  <c r="F63" i="2" l="1"/>
  <c r="H62" i="2"/>
  <c r="D78" i="1"/>
  <c r="C79" i="1" s="1"/>
  <c r="B79" i="1"/>
  <c r="G63" i="2" l="1"/>
  <c r="F64" i="2" s="1"/>
  <c r="D79" i="1"/>
  <c r="C80" i="1" s="1"/>
  <c r="B80" i="1"/>
  <c r="H63" i="2" l="1"/>
  <c r="G64" i="2" s="1"/>
  <c r="H64" i="2" s="1"/>
  <c r="D80" i="1"/>
  <c r="C81" i="1" s="1"/>
  <c r="B81" i="1"/>
  <c r="F65" i="2" l="1"/>
  <c r="G65" i="2" s="1"/>
  <c r="H65" i="2" s="1"/>
  <c r="D81" i="1"/>
  <c r="C82" i="1" s="1"/>
  <c r="B82" i="1"/>
  <c r="F66" i="2" l="1"/>
  <c r="G66" i="2" s="1"/>
  <c r="D82" i="1"/>
  <c r="C83" i="1" s="1"/>
  <c r="B83" i="1"/>
  <c r="H66" i="2" l="1"/>
  <c r="D83" i="1"/>
  <c r="C84" i="1" s="1"/>
  <c r="B84" i="1"/>
  <c r="F67" i="2" l="1"/>
  <c r="G67" i="2" s="1"/>
  <c r="D84" i="1"/>
  <c r="C85" i="1" s="1"/>
  <c r="B85" i="1"/>
  <c r="F68" i="2" l="1"/>
  <c r="H67" i="2"/>
  <c r="D85" i="1"/>
  <c r="C86" i="1" s="1"/>
  <c r="B86" i="1"/>
  <c r="G68" i="2" l="1"/>
  <c r="F69" i="2" s="1"/>
  <c r="D86" i="1"/>
  <c r="C87" i="1" s="1"/>
  <c r="B87" i="1"/>
  <c r="H68" i="2" l="1"/>
  <c r="D87" i="1"/>
  <c r="C88" i="1" s="1"/>
  <c r="B88" i="1"/>
  <c r="G69" i="2" l="1"/>
  <c r="F70" i="2" s="1"/>
  <c r="D88" i="1"/>
  <c r="C89" i="1" s="1"/>
  <c r="B89" i="1"/>
  <c r="H69" i="2" l="1"/>
  <c r="G70" i="2" s="1"/>
  <c r="H70" i="2" s="1"/>
  <c r="D89" i="1"/>
  <c r="C90" i="1" s="1"/>
  <c r="B90" i="1"/>
  <c r="F71" i="2" l="1"/>
  <c r="G71" i="2" s="1"/>
  <c r="F72" i="2" s="1"/>
  <c r="D90" i="1"/>
  <c r="C91" i="1" s="1"/>
  <c r="B91" i="1"/>
  <c r="H71" i="2" l="1"/>
  <c r="G72" i="2" s="1"/>
  <c r="F73" i="2" s="1"/>
  <c r="D91" i="1"/>
  <c r="C92" i="1" s="1"/>
  <c r="B92" i="1"/>
  <c r="H72" i="2" l="1"/>
  <c r="G73" i="2" s="1"/>
  <c r="D92" i="1"/>
  <c r="C93" i="1" s="1"/>
  <c r="B93" i="1"/>
  <c r="F74" i="2" l="1"/>
  <c r="H73" i="2"/>
  <c r="D93" i="1"/>
  <c r="C94" i="1" s="1"/>
  <c r="B94" i="1"/>
  <c r="G74" i="2" l="1"/>
  <c r="H74" i="2" s="1"/>
  <c r="D94" i="1"/>
  <c r="C95" i="1" s="1"/>
  <c r="B95" i="1"/>
  <c r="F75" i="2" l="1"/>
  <c r="D95" i="1"/>
  <c r="C96" i="1" s="1"/>
  <c r="B96" i="1"/>
  <c r="G75" i="2" l="1"/>
  <c r="H75" i="2" s="1"/>
  <c r="D96" i="1"/>
  <c r="C97" i="1" s="1"/>
  <c r="B97" i="1"/>
  <c r="F76" i="2" l="1"/>
  <c r="G76" i="2" s="1"/>
  <c r="F77" i="2" s="1"/>
  <c r="D97" i="1"/>
  <c r="C98" i="1" s="1"/>
  <c r="B98" i="1"/>
  <c r="H76" i="2" l="1"/>
  <c r="D98" i="1"/>
  <c r="C99" i="1" s="1"/>
  <c r="B99" i="1"/>
  <c r="G77" i="2" l="1"/>
  <c r="F78" i="2" s="1"/>
  <c r="D99" i="1"/>
  <c r="C100" i="1" s="1"/>
  <c r="B100" i="1"/>
  <c r="H77" i="2" l="1"/>
  <c r="G78" i="2" s="1"/>
  <c r="D100" i="1"/>
  <c r="C101" i="1" s="1"/>
  <c r="B101" i="1"/>
  <c r="F79" i="2" l="1"/>
  <c r="H78" i="2"/>
  <c r="D101" i="1"/>
  <c r="C102" i="1" s="1"/>
  <c r="B102" i="1"/>
  <c r="G79" i="2" l="1"/>
  <c r="H79" i="2" s="1"/>
  <c r="D102" i="1"/>
  <c r="C103" i="1" s="1"/>
  <c r="B103" i="1"/>
  <c r="F80" i="2" l="1"/>
  <c r="G80" i="2" s="1"/>
  <c r="H80" i="2" s="1"/>
  <c r="D103" i="1"/>
  <c r="C104" i="1" s="1"/>
  <c r="B104" i="1"/>
  <c r="F81" i="2" l="1"/>
  <c r="G81" i="2" s="1"/>
  <c r="F82" i="2" s="1"/>
  <c r="D104" i="1"/>
  <c r="C105" i="1" s="1"/>
  <c r="B105" i="1"/>
  <c r="H81" i="2" l="1"/>
  <c r="G82" i="2" s="1"/>
  <c r="F83" i="2" s="1"/>
  <c r="D105" i="1"/>
  <c r="C106" i="1" s="1"/>
  <c r="B106" i="1"/>
  <c r="H82" i="2" l="1"/>
  <c r="G83" i="2" s="1"/>
  <c r="H83" i="2" s="1"/>
  <c r="D106" i="1"/>
  <c r="C107" i="1" s="1"/>
  <c r="B107" i="1"/>
  <c r="F84" i="2" l="1"/>
  <c r="G84" i="2" s="1"/>
  <c r="H84" i="2" s="1"/>
  <c r="D107" i="1"/>
  <c r="C108" i="1" s="1"/>
  <c r="B108" i="1"/>
  <c r="F85" i="2" l="1"/>
  <c r="G85" i="2" s="1"/>
  <c r="F86" i="2" s="1"/>
  <c r="D108" i="1"/>
  <c r="C109" i="1" s="1"/>
  <c r="B109" i="1"/>
  <c r="H85" i="2" l="1"/>
  <c r="G86" i="2" s="1"/>
  <c r="D109" i="1"/>
  <c r="C110" i="1" s="1"/>
  <c r="B110" i="1"/>
  <c r="H86" i="2" l="1"/>
  <c r="F87" i="2"/>
  <c r="D110" i="1"/>
  <c r="C111" i="1" s="1"/>
  <c r="B111" i="1"/>
  <c r="G87" i="2" l="1"/>
  <c r="F88" i="2" s="1"/>
  <c r="D111" i="1"/>
  <c r="C112" i="1" s="1"/>
  <c r="B112" i="1"/>
  <c r="H87" i="2" l="1"/>
  <c r="D112" i="1"/>
  <c r="C113" i="1" s="1"/>
  <c r="B113" i="1"/>
  <c r="G88" i="2" l="1"/>
  <c r="F89" i="2" s="1"/>
  <c r="D113" i="1"/>
  <c r="C114" i="1" s="1"/>
  <c r="B114" i="1"/>
  <c r="H88" i="2" l="1"/>
  <c r="G89" i="2" s="1"/>
  <c r="D114" i="1"/>
  <c r="C115" i="1" s="1"/>
  <c r="B115" i="1"/>
  <c r="F90" i="2" l="1"/>
  <c r="H89" i="2"/>
  <c r="D115" i="1"/>
  <c r="C116" i="1" s="1"/>
  <c r="B116" i="1"/>
  <c r="G90" i="2" l="1"/>
  <c r="H90" i="2" s="1"/>
  <c r="D116" i="1"/>
  <c r="C117" i="1" s="1"/>
  <c r="B117" i="1"/>
  <c r="F91" i="2" l="1"/>
  <c r="G91" i="2" s="1"/>
  <c r="F92" i="2" s="1"/>
  <c r="D117" i="1"/>
  <c r="C118" i="1" s="1"/>
  <c r="B118" i="1"/>
  <c r="H91" i="2" l="1"/>
  <c r="G92" i="2" s="1"/>
  <c r="F93" i="2" s="1"/>
  <c r="D118" i="1"/>
  <c r="C119" i="1" s="1"/>
  <c r="B119" i="1"/>
  <c r="H92" i="2" l="1"/>
  <c r="G93" i="2" s="1"/>
  <c r="D119" i="1"/>
  <c r="C120" i="1" s="1"/>
  <c r="B120" i="1"/>
  <c r="F94" i="2" l="1"/>
  <c r="G94" i="2" s="1"/>
  <c r="F95" i="2" s="1"/>
  <c r="H93" i="2"/>
  <c r="D120" i="1"/>
  <c r="C121" i="1" s="1"/>
  <c r="B121" i="1"/>
  <c r="H94" i="2" l="1"/>
  <c r="G95" i="2" s="1"/>
  <c r="F96" i="2" s="1"/>
  <c r="D121" i="1"/>
  <c r="C122" i="1" s="1"/>
  <c r="B122" i="1"/>
  <c r="H95" i="2" l="1"/>
  <c r="G96" i="2" s="1"/>
  <c r="D122" i="1"/>
  <c r="C123" i="1" s="1"/>
  <c r="B123" i="1"/>
  <c r="H96" i="2" l="1"/>
  <c r="F97" i="2"/>
  <c r="D123" i="1"/>
  <c r="C124" i="1" s="1"/>
  <c r="B124" i="1"/>
  <c r="G97" i="2" l="1"/>
  <c r="F98" i="2" s="1"/>
  <c r="D124" i="1"/>
  <c r="C125" i="1" s="1"/>
  <c r="B125" i="1"/>
  <c r="H97" i="2" l="1"/>
  <c r="G98" i="2" s="1"/>
  <c r="D125" i="1"/>
  <c r="C126" i="1" s="1"/>
  <c r="B126" i="1"/>
  <c r="F99" i="2" l="1"/>
  <c r="H98" i="2"/>
  <c r="D126" i="1"/>
  <c r="C127" i="1" s="1"/>
  <c r="B127" i="1"/>
  <c r="G99" i="2" l="1"/>
  <c r="F100" i="2" s="1"/>
  <c r="D127" i="1"/>
  <c r="C128" i="1" s="1"/>
  <c r="B128" i="1"/>
  <c r="H99" i="2" l="1"/>
  <c r="G100" i="2" s="1"/>
  <c r="F101" i="2" s="1"/>
  <c r="D128" i="1"/>
  <c r="C129" i="1" s="1"/>
  <c r="B129" i="1"/>
  <c r="H100" i="2" l="1"/>
  <c r="G101" i="2" s="1"/>
  <c r="D129" i="1"/>
  <c r="C130" i="1" s="1"/>
  <c r="B130" i="1"/>
  <c r="F102" i="2" l="1"/>
  <c r="H101" i="2"/>
  <c r="D130" i="1"/>
  <c r="C131" i="1" s="1"/>
  <c r="B131" i="1"/>
  <c r="G102" i="2" l="1"/>
  <c r="H102" i="2" s="1"/>
  <c r="D131" i="1"/>
  <c r="C132" i="1" s="1"/>
  <c r="B132" i="1"/>
  <c r="F103" i="2" l="1"/>
  <c r="D132" i="1"/>
  <c r="C133" i="1" s="1"/>
  <c r="B133" i="1"/>
  <c r="G103" i="2" l="1"/>
  <c r="F104" i="2" s="1"/>
  <c r="D133" i="1"/>
  <c r="C134" i="1" s="1"/>
  <c r="B134" i="1"/>
  <c r="H103" i="2" l="1"/>
  <c r="G104" i="2" s="1"/>
  <c r="H104" i="2" s="1"/>
  <c r="D134" i="1"/>
  <c r="C135" i="1" s="1"/>
  <c r="B135" i="1"/>
  <c r="F105" i="2" l="1"/>
  <c r="D135" i="1"/>
  <c r="C136" i="1" s="1"/>
  <c r="B136" i="1"/>
  <c r="G105" i="2" l="1"/>
  <c r="F106" i="2" s="1"/>
  <c r="D136" i="1"/>
  <c r="C137" i="1" s="1"/>
  <c r="B137" i="1"/>
  <c r="H105" i="2" l="1"/>
  <c r="G106" i="2" s="1"/>
  <c r="H106" i="2" s="1"/>
  <c r="D137" i="1"/>
  <c r="C138" i="1" s="1"/>
  <c r="B138" i="1"/>
  <c r="F107" i="2" l="1"/>
  <c r="D138" i="1"/>
  <c r="C139" i="1" s="1"/>
  <c r="B139" i="1"/>
  <c r="G107" i="2" l="1"/>
  <c r="H107" i="2" s="1"/>
  <c r="D139" i="1"/>
  <c r="C140" i="1" s="1"/>
  <c r="B140" i="1"/>
  <c r="F108" i="2" l="1"/>
  <c r="D140" i="1"/>
  <c r="C141" i="1" s="1"/>
  <c r="B141" i="1"/>
  <c r="G108" i="2" l="1"/>
  <c r="F109" i="2" s="1"/>
  <c r="D141" i="1"/>
  <c r="C142" i="1" s="1"/>
  <c r="B142" i="1"/>
  <c r="H108" i="2" l="1"/>
  <c r="G109" i="2" s="1"/>
  <c r="H109" i="2" s="1"/>
  <c r="D142" i="1"/>
  <c r="C143" i="1" s="1"/>
  <c r="B143" i="1"/>
  <c r="F110" i="2" l="1"/>
  <c r="D143" i="1"/>
  <c r="C144" i="1" s="1"/>
  <c r="B144" i="1"/>
  <c r="G110" i="2" l="1"/>
  <c r="H110" i="2" s="1"/>
  <c r="D144" i="1"/>
  <c r="C145" i="1" s="1"/>
  <c r="B145" i="1"/>
  <c r="F111" i="2" l="1"/>
  <c r="G111" i="2" s="1"/>
  <c r="F112" i="2" s="1"/>
  <c r="D145" i="1"/>
  <c r="C146" i="1" s="1"/>
  <c r="B146" i="1"/>
  <c r="H111" i="2" l="1"/>
  <c r="G112" i="2" s="1"/>
  <c r="H112" i="2" s="1"/>
  <c r="D146" i="1"/>
  <c r="C147" i="1" s="1"/>
  <c r="B147" i="1"/>
  <c r="F113" i="2" l="1"/>
  <c r="G113" i="2" s="1"/>
  <c r="F114" i="2" s="1"/>
  <c r="D147" i="1"/>
  <c r="C148" i="1" s="1"/>
  <c r="B148" i="1"/>
  <c r="H113" i="2" l="1"/>
  <c r="G114" i="2" s="1"/>
  <c r="F115" i="2" s="1"/>
  <c r="D148" i="1"/>
  <c r="C149" i="1" s="1"/>
  <c r="B149" i="1"/>
  <c r="H114" i="2" l="1"/>
  <c r="G115" i="2" s="1"/>
  <c r="F116" i="2" s="1"/>
  <c r="D149" i="1"/>
  <c r="C150" i="1" s="1"/>
  <c r="B150" i="1"/>
  <c r="H115" i="2" l="1"/>
  <c r="G116" i="2" s="1"/>
  <c r="H116" i="2" s="1"/>
  <c r="D150" i="1"/>
  <c r="C151" i="1" s="1"/>
  <c r="B151" i="1"/>
  <c r="F117" i="2" l="1"/>
  <c r="G117" i="2" s="1"/>
  <c r="F118" i="2" s="1"/>
  <c r="D151" i="1"/>
  <c r="C152" i="1" s="1"/>
  <c r="B152" i="1"/>
  <c r="H117" i="2" l="1"/>
  <c r="G118" i="2" s="1"/>
  <c r="H118" i="2" s="1"/>
  <c r="D152" i="1"/>
  <c r="C153" i="1" s="1"/>
  <c r="B153" i="1"/>
  <c r="F119" i="2" l="1"/>
  <c r="G119" i="2" s="1"/>
  <c r="H119" i="2" s="1"/>
  <c r="D153" i="1"/>
  <c r="C154" i="1" s="1"/>
  <c r="B154" i="1"/>
  <c r="F120" i="2" l="1"/>
  <c r="D154" i="1"/>
  <c r="C155" i="1" s="1"/>
  <c r="B155" i="1"/>
  <c r="G120" i="2" l="1"/>
  <c r="H120" i="2" s="1"/>
  <c r="D155" i="1"/>
  <c r="C156" i="1" s="1"/>
  <c r="B156" i="1"/>
  <c r="F121" i="2" l="1"/>
  <c r="D156" i="1"/>
  <c r="C157" i="1" s="1"/>
  <c r="B157" i="1"/>
  <c r="G121" i="2" l="1"/>
  <c r="F122" i="2" s="1"/>
  <c r="D157" i="1"/>
  <c r="C158" i="1" s="1"/>
  <c r="B158" i="1"/>
  <c r="H121" i="2" l="1"/>
  <c r="G122" i="2" s="1"/>
  <c r="F123" i="2" s="1"/>
  <c r="H122" i="2"/>
  <c r="G123" i="2" s="1"/>
  <c r="F124" i="2" s="1"/>
  <c r="D158" i="1"/>
  <c r="C159" i="1" s="1"/>
  <c r="B159" i="1"/>
  <c r="H123" i="2" l="1"/>
  <c r="G124" i="2" s="1"/>
  <c r="F125" i="2" s="1"/>
  <c r="D159" i="1"/>
  <c r="C160" i="1" s="1"/>
  <c r="B160" i="1"/>
  <c r="H124" i="2" l="1"/>
  <c r="G125" i="2" s="1"/>
  <c r="F126" i="2" s="1"/>
  <c r="D160" i="1"/>
  <c r="C161" i="1" s="1"/>
  <c r="B161" i="1"/>
  <c r="H125" i="2" l="1"/>
  <c r="G126" i="2" s="1"/>
  <c r="H126" i="2" s="1"/>
  <c r="D161" i="1"/>
  <c r="C162" i="1" s="1"/>
  <c r="B162" i="1"/>
  <c r="F127" i="2" l="1"/>
  <c r="D162" i="1"/>
  <c r="C163" i="1" s="1"/>
  <c r="B163" i="1"/>
  <c r="G127" i="2" l="1"/>
  <c r="F128" i="2" s="1"/>
  <c r="D163" i="1"/>
  <c r="C164" i="1" s="1"/>
  <c r="B164" i="1"/>
  <c r="H127" i="2" l="1"/>
  <c r="G128" i="2" s="1"/>
  <c r="H128" i="2" s="1"/>
  <c r="D164" i="1"/>
  <c r="C165" i="1" s="1"/>
  <c r="B165" i="1"/>
  <c r="F129" i="2" l="1"/>
  <c r="G129" i="2" s="1"/>
  <c r="D165" i="1"/>
  <c r="C166" i="1" s="1"/>
  <c r="B166" i="1"/>
  <c r="H129" i="2" l="1"/>
  <c r="F130" i="2"/>
  <c r="G130" i="2" s="1"/>
  <c r="F131" i="2" s="1"/>
  <c r="D166" i="1"/>
  <c r="C167" i="1" s="1"/>
  <c r="B167" i="1"/>
  <c r="H130" i="2" l="1"/>
  <c r="G131" i="2" s="1"/>
  <c r="F132" i="2" s="1"/>
  <c r="D167" i="1"/>
  <c r="C168" i="1" s="1"/>
  <c r="B168" i="1"/>
  <c r="H131" i="2" l="1"/>
  <c r="G132" i="2" s="1"/>
  <c r="F133" i="2" s="1"/>
  <c r="D168" i="1"/>
  <c r="C169" i="1" s="1"/>
  <c r="B169" i="1"/>
  <c r="H132" i="2" l="1"/>
  <c r="G133" i="2" s="1"/>
  <c r="H133" i="2" s="1"/>
  <c r="D169" i="1"/>
  <c r="C170" i="1" s="1"/>
  <c r="B170" i="1"/>
  <c r="F134" i="2" l="1"/>
  <c r="D170" i="1"/>
  <c r="C171" i="1" s="1"/>
  <c r="B171" i="1"/>
  <c r="G134" i="2" l="1"/>
  <c r="F135" i="2" s="1"/>
  <c r="D171" i="1"/>
  <c r="C172" i="1" s="1"/>
  <c r="B172" i="1"/>
  <c r="H134" i="2" l="1"/>
  <c r="G135" i="2" s="1"/>
  <c r="F136" i="2" s="1"/>
  <c r="D172" i="1"/>
  <c r="C173" i="1" s="1"/>
  <c r="B173" i="1"/>
  <c r="H135" i="2" l="1"/>
  <c r="G136" i="2" s="1"/>
  <c r="H136" i="2" s="1"/>
  <c r="D173" i="1"/>
  <c r="C174" i="1" s="1"/>
  <c r="B174" i="1"/>
  <c r="F137" i="2" l="1"/>
  <c r="G137" i="2" s="1"/>
  <c r="D174" i="1"/>
  <c r="C175" i="1" s="1"/>
  <c r="B175" i="1"/>
  <c r="F138" i="2" l="1"/>
  <c r="H137" i="2"/>
  <c r="D175" i="1"/>
  <c r="C176" i="1" s="1"/>
  <c r="B176" i="1"/>
  <c r="G138" i="2" l="1"/>
  <c r="F139" i="2" s="1"/>
  <c r="D176" i="1"/>
  <c r="C177" i="1" s="1"/>
  <c r="B177" i="1"/>
  <c r="H138" i="2" l="1"/>
  <c r="G139" i="2" s="1"/>
  <c r="F140" i="2" s="1"/>
  <c r="D177" i="1"/>
  <c r="C178" i="1" s="1"/>
  <c r="B178" i="1"/>
  <c r="H139" i="2" l="1"/>
  <c r="G140" i="2" s="1"/>
  <c r="H140" i="2" s="1"/>
  <c r="D178" i="1"/>
  <c r="C179" i="1" s="1"/>
  <c r="B179" i="1"/>
  <c r="F141" i="2" l="1"/>
  <c r="G141" i="2" s="1"/>
  <c r="F142" i="2" s="1"/>
  <c r="D179" i="1"/>
  <c r="C180" i="1" s="1"/>
  <c r="B180" i="1"/>
  <c r="H141" i="2" l="1"/>
  <c r="G142" i="2" s="1"/>
  <c r="F143" i="2" s="1"/>
  <c r="H142" i="2"/>
  <c r="G143" i="2" s="1"/>
  <c r="F144" i="2" s="1"/>
  <c r="D180" i="1"/>
  <c r="C181" i="1" s="1"/>
  <c r="B181" i="1"/>
  <c r="H143" i="2" l="1"/>
  <c r="G144" i="2" s="1"/>
  <c r="F145" i="2" s="1"/>
  <c r="D181" i="1"/>
  <c r="C182" i="1" s="1"/>
  <c r="B182" i="1"/>
  <c r="H144" i="2" l="1"/>
  <c r="G145" i="2" s="1"/>
  <c r="F146" i="2" s="1"/>
  <c r="D182" i="1"/>
  <c r="C183" i="1" s="1"/>
  <c r="B183" i="1"/>
  <c r="H145" i="2" l="1"/>
  <c r="G146" i="2"/>
  <c r="H146" i="2" s="1"/>
  <c r="D183" i="1"/>
  <c r="C184" i="1" s="1"/>
  <c r="B184" i="1"/>
  <c r="F147" i="2" l="1"/>
  <c r="G147" i="2" s="1"/>
  <c r="H147" i="2" s="1"/>
  <c r="D184" i="1"/>
  <c r="C185" i="1" s="1"/>
  <c r="B185" i="1"/>
  <c r="F148" i="2" l="1"/>
  <c r="G148" i="2" s="1"/>
  <c r="H148" i="2" s="1"/>
  <c r="D185" i="1"/>
  <c r="C186" i="1" s="1"/>
  <c r="B186" i="1"/>
  <c r="F149" i="2" l="1"/>
  <c r="G149" i="2" s="1"/>
  <c r="H149" i="2" s="1"/>
  <c r="D186" i="1"/>
  <c r="C187" i="1" s="1"/>
  <c r="B187" i="1"/>
  <c r="F150" i="2" l="1"/>
  <c r="D187" i="1"/>
  <c r="C188" i="1" s="1"/>
  <c r="B188" i="1"/>
  <c r="G150" i="2" l="1"/>
  <c r="F151" i="2" s="1"/>
  <c r="D188" i="1"/>
  <c r="C189" i="1" s="1"/>
  <c r="B189" i="1"/>
  <c r="H150" i="2" l="1"/>
  <c r="G151" i="2" s="1"/>
  <c r="H151" i="2" s="1"/>
  <c r="D189" i="1"/>
  <c r="C190" i="1" s="1"/>
  <c r="B190" i="1"/>
  <c r="F152" i="2" l="1"/>
  <c r="G152" i="2"/>
  <c r="F153" i="2" s="1"/>
  <c r="D190" i="1"/>
  <c r="C191" i="1" s="1"/>
  <c r="B191" i="1"/>
  <c r="H152" i="2" l="1"/>
  <c r="G153" i="2" s="1"/>
  <c r="D191" i="1"/>
  <c r="C192" i="1" s="1"/>
  <c r="B192" i="1"/>
  <c r="H153" i="2" l="1"/>
  <c r="F154" i="2"/>
  <c r="G154" i="2" s="1"/>
  <c r="H154" i="2" s="1"/>
  <c r="D192" i="1"/>
  <c r="C193" i="1" s="1"/>
  <c r="B193" i="1"/>
  <c r="F155" i="2" l="1"/>
  <c r="G155" i="2"/>
  <c r="H155" i="2" s="1"/>
  <c r="D193" i="1"/>
  <c r="C194" i="1" s="1"/>
  <c r="B194" i="1"/>
  <c r="F156" i="2" l="1"/>
  <c r="G156" i="2" s="1"/>
  <c r="F157" i="2" s="1"/>
  <c r="D194" i="1"/>
  <c r="C195" i="1" s="1"/>
  <c r="B195" i="1"/>
  <c r="H156" i="2" l="1"/>
  <c r="G157" i="2"/>
  <c r="F158" i="2" s="1"/>
  <c r="D195" i="1"/>
  <c r="C196" i="1" s="1"/>
  <c r="B196" i="1"/>
  <c r="H157" i="2" l="1"/>
  <c r="G158" i="2" s="1"/>
  <c r="D196" i="1"/>
  <c r="C197" i="1" s="1"/>
  <c r="B197" i="1"/>
  <c r="F159" i="2" l="1"/>
  <c r="H158" i="2"/>
  <c r="D197" i="1"/>
  <c r="C198" i="1" s="1"/>
  <c r="B198" i="1"/>
  <c r="G159" i="2" l="1"/>
  <c r="H159" i="2" s="1"/>
  <c r="D198" i="1"/>
  <c r="C199" i="1" s="1"/>
  <c r="B199" i="1"/>
  <c r="F160" i="2" l="1"/>
  <c r="G160" i="2" s="1"/>
  <c r="F161" i="2" s="1"/>
  <c r="D199" i="1"/>
  <c r="C200" i="1" s="1"/>
  <c r="B200" i="1"/>
  <c r="H160" i="2" l="1"/>
  <c r="G161" i="2" s="1"/>
  <c r="H161" i="2" s="1"/>
  <c r="D200" i="1"/>
  <c r="C201" i="1" s="1"/>
  <c r="B201" i="1"/>
  <c r="F162" i="2" l="1"/>
  <c r="G162" i="2" s="1"/>
  <c r="H162" i="2" s="1"/>
  <c r="D201" i="1"/>
  <c r="C202" i="1" s="1"/>
  <c r="B202" i="1"/>
  <c r="F163" i="2" l="1"/>
  <c r="G163" i="2" s="1"/>
  <c r="H163" i="2" s="1"/>
  <c r="D202" i="1"/>
  <c r="C203" i="1" s="1"/>
  <c r="B203" i="1"/>
  <c r="F164" i="2" l="1"/>
  <c r="G164" i="2" s="1"/>
  <c r="D203" i="1"/>
  <c r="C204" i="1" s="1"/>
  <c r="B204" i="1"/>
  <c r="F165" i="2" l="1"/>
  <c r="H164" i="2"/>
  <c r="D204" i="1"/>
  <c r="C205" i="1" s="1"/>
  <c r="B205" i="1"/>
  <c r="G165" i="2" l="1"/>
  <c r="H165" i="2" s="1"/>
  <c r="D205" i="1"/>
  <c r="C206" i="1" s="1"/>
  <c r="B206" i="1"/>
  <c r="F166" i="2" l="1"/>
  <c r="G166" i="2" s="1"/>
  <c r="D206" i="1"/>
  <c r="C207" i="1" s="1"/>
  <c r="B207" i="1"/>
  <c r="F167" i="2" l="1"/>
  <c r="H166" i="2"/>
  <c r="D207" i="1"/>
  <c r="C208" i="1" s="1"/>
  <c r="B208" i="1"/>
  <c r="G167" i="2" l="1"/>
  <c r="D208" i="1"/>
  <c r="C209" i="1" s="1"/>
  <c r="B209" i="1"/>
  <c r="H167" i="2" l="1"/>
  <c r="F168" i="2"/>
  <c r="D209" i="1"/>
  <c r="C210" i="1" s="1"/>
  <c r="B210" i="1"/>
  <c r="G168" i="2" l="1"/>
  <c r="F169" i="2" s="1"/>
  <c r="D210" i="1"/>
  <c r="C211" i="1" s="1"/>
  <c r="B211" i="1"/>
  <c r="H168" i="2" l="1"/>
  <c r="G169" i="2" s="1"/>
  <c r="F170" i="2" s="1"/>
  <c r="D211" i="1"/>
  <c r="C212" i="1" s="1"/>
  <c r="B212" i="1"/>
  <c r="H169" i="2" l="1"/>
  <c r="G170" i="2" s="1"/>
  <c r="D212" i="1"/>
  <c r="C213" i="1" s="1"/>
  <c r="B213" i="1"/>
  <c r="H170" i="2" l="1"/>
  <c r="F171" i="2"/>
  <c r="D213" i="1"/>
  <c r="C214" i="1" s="1"/>
  <c r="B214" i="1"/>
  <c r="G171" i="2" l="1"/>
  <c r="F172" i="2" s="1"/>
  <c r="D214" i="1"/>
  <c r="C215" i="1" s="1"/>
  <c r="B215" i="1"/>
  <c r="H171" i="2" l="1"/>
  <c r="G172" i="2" s="1"/>
  <c r="F173" i="2" s="1"/>
  <c r="D215" i="1"/>
  <c r="C216" i="1" s="1"/>
  <c r="B216" i="1"/>
  <c r="H172" i="2" l="1"/>
  <c r="G173" i="2" s="1"/>
  <c r="H173" i="2" s="1"/>
  <c r="D216" i="1"/>
  <c r="C217" i="1" s="1"/>
  <c r="B217" i="1"/>
  <c r="F174" i="2" l="1"/>
  <c r="G174" i="2" s="1"/>
  <c r="F175" i="2" s="1"/>
  <c r="D217" i="1"/>
  <c r="C218" i="1" s="1"/>
  <c r="B218" i="1"/>
  <c r="H174" i="2" l="1"/>
  <c r="G175" i="2" s="1"/>
  <c r="D218" i="1"/>
  <c r="C219" i="1" s="1"/>
  <c r="B219" i="1"/>
  <c r="F176" i="2" l="1"/>
  <c r="H175" i="2"/>
  <c r="D219" i="1"/>
  <c r="C220" i="1" s="1"/>
  <c r="B220" i="1"/>
  <c r="G176" i="2" l="1"/>
  <c r="F177" i="2" s="1"/>
  <c r="D220" i="1"/>
  <c r="C221" i="1" s="1"/>
  <c r="B221" i="1"/>
  <c r="H176" i="2" l="1"/>
  <c r="G177" i="2" s="1"/>
  <c r="F178" i="2" s="1"/>
  <c r="D221" i="1"/>
  <c r="C222" i="1" s="1"/>
  <c r="B222" i="1"/>
  <c r="H177" i="2" l="1"/>
  <c r="G178" i="2" s="1"/>
  <c r="D222" i="1"/>
  <c r="C223" i="1" s="1"/>
  <c r="B223" i="1"/>
  <c r="F179" i="2" l="1"/>
  <c r="H178" i="2"/>
  <c r="D223" i="1"/>
  <c r="C224" i="1" s="1"/>
  <c r="B224" i="1"/>
  <c r="G179" i="2" l="1"/>
  <c r="F180" i="2" s="1"/>
  <c r="D224" i="1"/>
  <c r="C225" i="1" s="1"/>
  <c r="B225" i="1"/>
  <c r="H179" i="2" l="1"/>
  <c r="G180" i="2" s="1"/>
  <c r="F181" i="2" s="1"/>
  <c r="D225" i="1"/>
  <c r="C226" i="1" s="1"/>
  <c r="B226" i="1"/>
  <c r="H180" i="2" l="1"/>
  <c r="G181" i="2" s="1"/>
  <c r="F182" i="2" s="1"/>
  <c r="D226" i="1"/>
  <c r="C227" i="1" s="1"/>
  <c r="B227" i="1"/>
  <c r="H181" i="2" l="1"/>
  <c r="G182" i="2" s="1"/>
  <c r="F183" i="2" s="1"/>
  <c r="D227" i="1"/>
  <c r="C228" i="1" s="1"/>
  <c r="B228" i="1"/>
  <c r="H182" i="2" l="1"/>
  <c r="G183" i="2"/>
  <c r="F184" i="2" s="1"/>
  <c r="D228" i="1"/>
  <c r="C229" i="1" s="1"/>
  <c r="B229" i="1"/>
  <c r="H183" i="2" l="1"/>
  <c r="G184" i="2" s="1"/>
  <c r="F185" i="2" s="1"/>
  <c r="D229" i="1"/>
  <c r="C230" i="1" s="1"/>
  <c r="B230" i="1"/>
  <c r="H184" i="2" l="1"/>
  <c r="G185" i="2" s="1"/>
  <c r="D230" i="1"/>
  <c r="C231" i="1" s="1"/>
  <c r="B231" i="1"/>
  <c r="F186" i="2" l="1"/>
  <c r="H185" i="2"/>
  <c r="D231" i="1"/>
  <c r="C232" i="1" s="1"/>
  <c r="B232" i="1"/>
  <c r="G186" i="2" l="1"/>
  <c r="H186" i="2" s="1"/>
  <c r="D232" i="1"/>
  <c r="C233" i="1" s="1"/>
  <c r="B233" i="1"/>
  <c r="F187" i="2" l="1"/>
  <c r="G187" i="2" s="1"/>
  <c r="F188" i="2" s="1"/>
  <c r="D233" i="1"/>
  <c r="C234" i="1" s="1"/>
  <c r="B234" i="1"/>
  <c r="H187" i="2" l="1"/>
  <c r="G188" i="2" s="1"/>
  <c r="F189" i="2" s="1"/>
  <c r="D234" i="1"/>
  <c r="C235" i="1" s="1"/>
  <c r="B235" i="1"/>
  <c r="H188" i="2" l="1"/>
  <c r="G189" i="2" s="1"/>
  <c r="F190" i="2" s="1"/>
  <c r="D235" i="1"/>
  <c r="C236" i="1" s="1"/>
  <c r="B236" i="1"/>
  <c r="H189" i="2" l="1"/>
  <c r="G190" i="2" s="1"/>
  <c r="F191" i="2" s="1"/>
  <c r="D236" i="1"/>
  <c r="C237" i="1" s="1"/>
  <c r="B237" i="1"/>
  <c r="H190" i="2" l="1"/>
  <c r="G191" i="2" s="1"/>
  <c r="D237" i="1"/>
  <c r="C238" i="1" s="1"/>
  <c r="B238" i="1"/>
  <c r="H191" i="2" l="1"/>
  <c r="F192" i="2"/>
  <c r="D238" i="1"/>
  <c r="C239" i="1" s="1"/>
  <c r="B239" i="1"/>
  <c r="G192" i="2" l="1"/>
  <c r="H192" i="2" s="1"/>
  <c r="D239" i="1"/>
  <c r="C240" i="1" s="1"/>
  <c r="B240" i="1"/>
  <c r="F193" i="2" l="1"/>
  <c r="D240" i="1"/>
  <c r="C241" i="1" s="1"/>
  <c r="B241" i="1"/>
  <c r="G193" i="2" l="1"/>
  <c r="F194" i="2" s="1"/>
  <c r="D241" i="1"/>
  <c r="C242" i="1" s="1"/>
  <c r="B242" i="1"/>
  <c r="H193" i="2" l="1"/>
  <c r="G194" i="2" s="1"/>
  <c r="F195" i="2" s="1"/>
  <c r="D242" i="1"/>
  <c r="C243" i="1" s="1"/>
  <c r="B243" i="1"/>
  <c r="H194" i="2" l="1"/>
  <c r="G195" i="2" s="1"/>
  <c r="F196" i="2" s="1"/>
  <c r="D243" i="1"/>
  <c r="C244" i="1" s="1"/>
  <c r="B244" i="1"/>
  <c r="H195" i="2" l="1"/>
  <c r="G196" i="2" s="1"/>
  <c r="F197" i="2" s="1"/>
  <c r="D244" i="1"/>
  <c r="C245" i="1" s="1"/>
  <c r="B245" i="1"/>
  <c r="H196" i="2" l="1"/>
  <c r="G197" i="2" s="1"/>
  <c r="F198" i="2" s="1"/>
  <c r="D245" i="1"/>
  <c r="C246" i="1" s="1"/>
  <c r="B246" i="1"/>
  <c r="H197" i="2" l="1"/>
  <c r="G198" i="2" s="1"/>
  <c r="F199" i="2" s="1"/>
  <c r="D246" i="1"/>
  <c r="C247" i="1" s="1"/>
  <c r="B247" i="1"/>
  <c r="H198" i="2" l="1"/>
  <c r="G199" i="2" s="1"/>
  <c r="F200" i="2" s="1"/>
  <c r="D247" i="1"/>
  <c r="C248" i="1" s="1"/>
  <c r="B248" i="1"/>
  <c r="H199" i="2" l="1"/>
  <c r="G200" i="2" s="1"/>
  <c r="F201" i="2" s="1"/>
  <c r="D248" i="1"/>
  <c r="C249" i="1" s="1"/>
  <c r="B249" i="1"/>
  <c r="H200" i="2" l="1"/>
  <c r="G201" i="2" s="1"/>
  <c r="D249" i="1"/>
  <c r="C250" i="1" s="1"/>
  <c r="B250" i="1"/>
  <c r="F202" i="2" l="1"/>
  <c r="H201" i="2"/>
  <c r="D250" i="1"/>
  <c r="C251" i="1" s="1"/>
  <c r="B251" i="1"/>
  <c r="G202" i="2" l="1"/>
  <c r="F203" i="2" s="1"/>
  <c r="D251" i="1"/>
  <c r="C252" i="1" s="1"/>
  <c r="B252" i="1"/>
  <c r="H202" i="2" l="1"/>
  <c r="G203" i="2"/>
  <c r="F204" i="2" s="1"/>
  <c r="D252" i="1"/>
  <c r="C253" i="1" s="1"/>
  <c r="B253" i="1"/>
  <c r="H203" i="2" l="1"/>
  <c r="G204" i="2" s="1"/>
  <c r="F205" i="2" s="1"/>
  <c r="D253" i="1"/>
  <c r="C254" i="1" s="1"/>
  <c r="B254" i="1"/>
  <c r="H204" i="2" l="1"/>
  <c r="G205" i="2" s="1"/>
  <c r="H205" i="2" s="1"/>
  <c r="D254" i="1"/>
  <c r="C255" i="1" s="1"/>
  <c r="B255" i="1"/>
  <c r="F206" i="2" l="1"/>
  <c r="G206" i="2" s="1"/>
  <c r="F207" i="2" s="1"/>
  <c r="D255" i="1"/>
  <c r="C256" i="1" s="1"/>
  <c r="B256" i="1"/>
  <c r="H206" i="2" l="1"/>
  <c r="G207" i="2" s="1"/>
  <c r="H207" i="2" s="1"/>
  <c r="D256" i="1"/>
  <c r="C257" i="1" s="1"/>
  <c r="B257" i="1"/>
  <c r="F208" i="2" l="1"/>
  <c r="G208" i="2" s="1"/>
  <c r="F209" i="2" s="1"/>
  <c r="D257" i="1"/>
  <c r="C258" i="1" s="1"/>
  <c r="B258" i="1"/>
  <c r="H208" i="2" l="1"/>
  <c r="D258" i="1"/>
  <c r="C259" i="1" s="1"/>
  <c r="B259" i="1"/>
  <c r="G209" i="2" l="1"/>
  <c r="F210" i="2" s="1"/>
  <c r="D259" i="1"/>
  <c r="C260" i="1" s="1"/>
  <c r="B260" i="1"/>
  <c r="H209" i="2" l="1"/>
  <c r="G210" i="2" s="1"/>
  <c r="F211" i="2" s="1"/>
  <c r="D260" i="1"/>
  <c r="C261" i="1" s="1"/>
  <c r="B261" i="1"/>
  <c r="H210" i="2" l="1"/>
  <c r="G211" i="2" s="1"/>
  <c r="D261" i="1"/>
  <c r="C262" i="1" s="1"/>
  <c r="B262" i="1"/>
  <c r="F212" i="2" l="1"/>
  <c r="H211" i="2"/>
  <c r="D262" i="1"/>
  <c r="C263" i="1" s="1"/>
  <c r="B263" i="1"/>
  <c r="G212" i="2" l="1"/>
  <c r="F213" i="2" s="1"/>
  <c r="D263" i="1"/>
  <c r="C264" i="1" s="1"/>
  <c r="B264" i="1"/>
  <c r="H212" i="2" l="1"/>
  <c r="G213" i="2" s="1"/>
  <c r="F214" i="2" s="1"/>
  <c r="D264" i="1"/>
  <c r="C265" i="1" s="1"/>
  <c r="B265" i="1"/>
  <c r="H213" i="2" l="1"/>
  <c r="G214" i="2" s="1"/>
  <c r="F215" i="2" s="1"/>
  <c r="D265" i="1"/>
  <c r="C266" i="1" s="1"/>
  <c r="B266" i="1"/>
  <c r="H214" i="2" l="1"/>
  <c r="G215" i="2"/>
  <c r="F216" i="2" s="1"/>
  <c r="D266" i="1"/>
  <c r="C267" i="1" s="1"/>
  <c r="B267" i="1"/>
  <c r="H215" i="2" l="1"/>
  <c r="G216" i="2" s="1"/>
  <c r="H216" i="2" s="1"/>
  <c r="D267" i="1"/>
  <c r="C268" i="1" s="1"/>
  <c r="B268" i="1"/>
  <c r="F217" i="2" l="1"/>
  <c r="G217" i="2" s="1"/>
  <c r="F218" i="2" s="1"/>
  <c r="D268" i="1"/>
  <c r="C269" i="1" s="1"/>
  <c r="B269" i="1"/>
  <c r="H217" i="2" l="1"/>
  <c r="G218" i="2"/>
  <c r="F219" i="2" s="1"/>
  <c r="D269" i="1"/>
  <c r="C270" i="1" s="1"/>
  <c r="B270" i="1"/>
  <c r="H218" i="2" l="1"/>
  <c r="G219" i="2" s="1"/>
  <c r="H219" i="2" s="1"/>
  <c r="D270" i="1"/>
  <c r="C271" i="1" s="1"/>
  <c r="B271" i="1"/>
  <c r="F220" i="2" l="1"/>
  <c r="G220" i="2" s="1"/>
  <c r="H220" i="2" s="1"/>
  <c r="D271" i="1"/>
  <c r="C272" i="1" s="1"/>
  <c r="B272" i="1"/>
  <c r="F221" i="2" l="1"/>
  <c r="D272" i="1"/>
  <c r="C273" i="1" s="1"/>
  <c r="B273" i="1"/>
  <c r="G221" i="2" l="1"/>
  <c r="H221" i="2" s="1"/>
  <c r="D273" i="1"/>
  <c r="C274" i="1" s="1"/>
  <c r="B274" i="1"/>
  <c r="F222" i="2" l="1"/>
  <c r="D274" i="1"/>
  <c r="C275" i="1" s="1"/>
  <c r="B275" i="1"/>
  <c r="G222" i="2" l="1"/>
  <c r="F223" i="2" s="1"/>
  <c r="D275" i="1"/>
  <c r="C276" i="1" s="1"/>
  <c r="B276" i="1"/>
  <c r="H222" i="2" l="1"/>
  <c r="G223" i="2" s="1"/>
  <c r="D276" i="1"/>
  <c r="C277" i="1" s="1"/>
  <c r="B277" i="1"/>
  <c r="H223" i="2" l="1"/>
  <c r="F224" i="2"/>
  <c r="D277" i="1"/>
  <c r="C278" i="1" s="1"/>
  <c r="B278" i="1"/>
  <c r="G224" i="2" l="1"/>
  <c r="F225" i="2" s="1"/>
  <c r="D278" i="1"/>
  <c r="C279" i="1" s="1"/>
  <c r="B279" i="1"/>
  <c r="H224" i="2" l="1"/>
  <c r="G225" i="2" s="1"/>
  <c r="H225" i="2" s="1"/>
  <c r="D279" i="1"/>
  <c r="C280" i="1" s="1"/>
  <c r="B280" i="1"/>
  <c r="F226" i="2" l="1"/>
  <c r="G226" i="2" s="1"/>
  <c r="H226" i="2" s="1"/>
  <c r="D280" i="1"/>
  <c r="C281" i="1" s="1"/>
  <c r="B281" i="1"/>
  <c r="F227" i="2" l="1"/>
  <c r="G227" i="2" s="1"/>
  <c r="D281" i="1"/>
  <c r="C282" i="1" s="1"/>
  <c r="B282" i="1"/>
  <c r="H227" i="2" l="1"/>
  <c r="F228" i="2"/>
  <c r="D282" i="1"/>
  <c r="C283" i="1" s="1"/>
  <c r="B283" i="1"/>
  <c r="G228" i="2" l="1"/>
  <c r="F229" i="2" s="1"/>
  <c r="D283" i="1"/>
  <c r="C284" i="1" s="1"/>
  <c r="B284" i="1"/>
  <c r="H228" i="2" l="1"/>
  <c r="G229" i="2" s="1"/>
  <c r="F230" i="2" s="1"/>
  <c r="D284" i="1"/>
  <c r="C285" i="1" s="1"/>
  <c r="B285" i="1"/>
  <c r="H229" i="2" l="1"/>
  <c r="G230" i="2" s="1"/>
  <c r="F231" i="2" s="1"/>
  <c r="D285" i="1"/>
  <c r="C286" i="1" s="1"/>
  <c r="B286" i="1"/>
  <c r="H230" i="2" l="1"/>
  <c r="G231" i="2" s="1"/>
  <c r="H231" i="2" s="1"/>
  <c r="D286" i="1"/>
  <c r="C287" i="1" s="1"/>
  <c r="B287" i="1"/>
  <c r="F232" i="2" l="1"/>
  <c r="G232" i="2" s="1"/>
  <c r="F233" i="2" s="1"/>
  <c r="D287" i="1"/>
  <c r="C288" i="1" s="1"/>
  <c r="B288" i="1"/>
  <c r="H232" i="2" l="1"/>
  <c r="G233" i="2" s="1"/>
  <c r="F234" i="2" s="1"/>
  <c r="D288" i="1"/>
  <c r="C289" i="1" s="1"/>
  <c r="B289" i="1"/>
  <c r="H233" i="2" l="1"/>
  <c r="G234" i="2" s="1"/>
  <c r="F235" i="2" s="1"/>
  <c r="D289" i="1"/>
  <c r="C290" i="1" s="1"/>
  <c r="B290" i="1"/>
  <c r="H234" i="2" l="1"/>
  <c r="G235" i="2" s="1"/>
  <c r="D290" i="1"/>
  <c r="C291" i="1" s="1"/>
  <c r="B291" i="1"/>
  <c r="F236" i="2" l="1"/>
  <c r="H235" i="2"/>
  <c r="D291" i="1"/>
  <c r="C292" i="1" s="1"/>
  <c r="B292" i="1"/>
  <c r="G236" i="2" l="1"/>
  <c r="F237" i="2" s="1"/>
  <c r="D292" i="1"/>
  <c r="C293" i="1" s="1"/>
  <c r="B293" i="1"/>
  <c r="H236" i="2" l="1"/>
  <c r="G237" i="2" s="1"/>
  <c r="F238" i="2" s="1"/>
  <c r="D293" i="1"/>
  <c r="C294" i="1" s="1"/>
  <c r="B294" i="1"/>
  <c r="H237" i="2" l="1"/>
  <c r="G238" i="2" s="1"/>
  <c r="F239" i="2" s="1"/>
  <c r="D294" i="1"/>
  <c r="C295" i="1" s="1"/>
  <c r="B295" i="1"/>
  <c r="H238" i="2" l="1"/>
  <c r="G239" i="2" s="1"/>
  <c r="F240" i="2" s="1"/>
  <c r="D295" i="1"/>
  <c r="C296" i="1" s="1"/>
  <c r="B296" i="1"/>
  <c r="H239" i="2" l="1"/>
  <c r="G240" i="2"/>
  <c r="F241" i="2" s="1"/>
  <c r="D296" i="1"/>
  <c r="C297" i="1" s="1"/>
  <c r="B297" i="1"/>
  <c r="H240" i="2" l="1"/>
  <c r="G241" i="2" s="1"/>
  <c r="D297" i="1"/>
  <c r="C298" i="1" s="1"/>
  <c r="B298" i="1"/>
  <c r="F242" i="2" l="1"/>
  <c r="H241" i="2"/>
  <c r="D298" i="1"/>
  <c r="C299" i="1" s="1"/>
  <c r="B299" i="1"/>
  <c r="G242" i="2" l="1"/>
  <c r="F243" i="2" s="1"/>
  <c r="D299" i="1"/>
  <c r="C300" i="1" s="1"/>
  <c r="B300" i="1"/>
  <c r="H242" i="2" l="1"/>
  <c r="G243" i="2" s="1"/>
  <c r="F244" i="2" s="1"/>
  <c r="D300" i="1"/>
  <c r="C301" i="1" s="1"/>
  <c r="B301" i="1"/>
  <c r="H243" i="2" l="1"/>
  <c r="D301" i="1"/>
  <c r="C302" i="1" s="1"/>
  <c r="B302" i="1"/>
  <c r="G244" i="2" l="1"/>
  <c r="F245" i="2" s="1"/>
  <c r="D302" i="1"/>
  <c r="C303" i="1" s="1"/>
  <c r="B303" i="1"/>
  <c r="H244" i="2" l="1"/>
  <c r="G245" i="2" s="1"/>
  <c r="F246" i="2" s="1"/>
  <c r="D303" i="1"/>
  <c r="C304" i="1" s="1"/>
  <c r="B304" i="1"/>
  <c r="H245" i="2" l="1"/>
  <c r="G246" i="2" s="1"/>
  <c r="F247" i="2" s="1"/>
  <c r="D304" i="1"/>
  <c r="C305" i="1" s="1"/>
  <c r="B305" i="1"/>
  <c r="H246" i="2" l="1"/>
  <c r="G247" i="2" s="1"/>
  <c r="F248" i="2" s="1"/>
  <c r="D305" i="1"/>
  <c r="C306" i="1" s="1"/>
  <c r="B306" i="1"/>
  <c r="H247" i="2" l="1"/>
  <c r="G248" i="2" s="1"/>
  <c r="H248" i="2" s="1"/>
  <c r="D306" i="1"/>
  <c r="C307" i="1" s="1"/>
  <c r="B307" i="1"/>
  <c r="F249" i="2" l="1"/>
  <c r="G249" i="2" s="1"/>
  <c r="D307" i="1"/>
  <c r="C308" i="1" s="1"/>
  <c r="B308" i="1"/>
  <c r="F250" i="2" l="1"/>
  <c r="H249" i="2"/>
  <c r="D308" i="1"/>
  <c r="C309" i="1" s="1"/>
  <c r="B309" i="1"/>
  <c r="G250" i="2" l="1"/>
  <c r="H250" i="2" s="1"/>
  <c r="D309" i="1"/>
  <c r="C310" i="1" s="1"/>
  <c r="B310" i="1"/>
  <c r="F251" i="2" l="1"/>
  <c r="D310" i="1"/>
  <c r="C311" i="1" s="1"/>
  <c r="B311" i="1"/>
  <c r="G251" i="2" l="1"/>
  <c r="F252" i="2" s="1"/>
  <c r="D311" i="1"/>
  <c r="C312" i="1" s="1"/>
  <c r="B312" i="1"/>
  <c r="H251" i="2" l="1"/>
  <c r="G252" i="2" s="1"/>
  <c r="H252" i="2" s="1"/>
  <c r="D312" i="1"/>
  <c r="C313" i="1" s="1"/>
  <c r="B313" i="1"/>
  <c r="F253" i="2" l="1"/>
  <c r="G253" i="2" s="1"/>
  <c r="F254" i="2" s="1"/>
  <c r="D313" i="1"/>
  <c r="C314" i="1" s="1"/>
  <c r="B314" i="1"/>
  <c r="H253" i="2" l="1"/>
  <c r="G254" i="2" s="1"/>
  <c r="D314" i="1"/>
  <c r="C315" i="1" s="1"/>
  <c r="B315" i="1"/>
  <c r="F255" i="2" l="1"/>
  <c r="H254" i="2"/>
  <c r="D315" i="1"/>
  <c r="C316" i="1" s="1"/>
  <c r="B316" i="1"/>
  <c r="G255" i="2" l="1"/>
  <c r="H255" i="2" s="1"/>
  <c r="D316" i="1"/>
  <c r="C317" i="1" s="1"/>
  <c r="B317" i="1"/>
  <c r="F256" i="2" l="1"/>
  <c r="G256" i="2" s="1"/>
  <c r="H256" i="2" s="1"/>
  <c r="D317" i="1"/>
  <c r="C318" i="1" s="1"/>
  <c r="B318" i="1"/>
  <c r="F257" i="2" l="1"/>
  <c r="G257" i="2" s="1"/>
  <c r="D318" i="1"/>
  <c r="C319" i="1" s="1"/>
  <c r="B319" i="1"/>
  <c r="H257" i="2" l="1"/>
  <c r="D319" i="1"/>
  <c r="C320" i="1" s="1"/>
  <c r="B320" i="1"/>
  <c r="F258" i="2" l="1"/>
  <c r="G258" i="2" s="1"/>
  <c r="D320" i="1"/>
  <c r="C321" i="1" s="1"/>
  <c r="B321" i="1"/>
  <c r="F259" i="2" l="1"/>
  <c r="D321" i="1"/>
  <c r="C322" i="1" s="1"/>
  <c r="B322" i="1"/>
  <c r="H258" i="2" l="1"/>
  <c r="D322" i="1"/>
  <c r="C323" i="1" s="1"/>
  <c r="B323" i="1"/>
  <c r="G259" i="2" l="1"/>
  <c r="F260" i="2" s="1"/>
  <c r="D323" i="1"/>
  <c r="C324" i="1" s="1"/>
  <c r="B324" i="1"/>
  <c r="H259" i="2" l="1"/>
  <c r="G260" i="2" s="1"/>
  <c r="D324" i="1"/>
  <c r="C325" i="1" s="1"/>
  <c r="B325" i="1"/>
  <c r="F261" i="2" l="1"/>
  <c r="H260" i="2"/>
  <c r="D325" i="1"/>
  <c r="C326" i="1" s="1"/>
  <c r="B326" i="1"/>
  <c r="G261" i="2" l="1"/>
  <c r="D326" i="1"/>
  <c r="C327" i="1" s="1"/>
  <c r="B327" i="1"/>
  <c r="F262" i="2" l="1"/>
  <c r="H261" i="2"/>
  <c r="D327" i="1"/>
  <c r="C328" i="1" s="1"/>
  <c r="B328" i="1"/>
  <c r="G262" i="2" l="1"/>
  <c r="H262" i="2" s="1"/>
  <c r="D328" i="1"/>
  <c r="C329" i="1" s="1"/>
  <c r="B329" i="1"/>
  <c r="F263" i="2" l="1"/>
  <c r="G263" i="2" s="1"/>
  <c r="H263" i="2" s="1"/>
  <c r="D329" i="1"/>
  <c r="C330" i="1" s="1"/>
  <c r="B330" i="1"/>
  <c r="F264" i="2" l="1"/>
  <c r="G264" i="2" s="1"/>
  <c r="F265" i="2" s="1"/>
  <c r="D330" i="1"/>
  <c r="C331" i="1" s="1"/>
  <c r="B331" i="1"/>
  <c r="H264" i="2" l="1"/>
  <c r="G265" i="2" s="1"/>
  <c r="F266" i="2" s="1"/>
  <c r="D331" i="1"/>
  <c r="C332" i="1" s="1"/>
  <c r="B332" i="1"/>
  <c r="H265" i="2" l="1"/>
  <c r="G266" i="2" s="1"/>
  <c r="D332" i="1"/>
  <c r="C333" i="1" s="1"/>
  <c r="B333" i="1"/>
  <c r="F267" i="2" l="1"/>
  <c r="H266" i="2"/>
  <c r="D333" i="1"/>
  <c r="C334" i="1" s="1"/>
  <c r="B334" i="1"/>
  <c r="G267" i="2" l="1"/>
  <c r="F268" i="2" s="1"/>
  <c r="D334" i="1"/>
  <c r="C335" i="1" s="1"/>
  <c r="B335" i="1"/>
  <c r="H267" i="2" l="1"/>
  <c r="G268" i="2" s="1"/>
  <c r="H268" i="2" s="1"/>
  <c r="D335" i="1"/>
  <c r="C336" i="1" s="1"/>
  <c r="B336" i="1"/>
  <c r="F269" i="2" l="1"/>
  <c r="G269" i="2" s="1"/>
  <c r="D336" i="1"/>
  <c r="C337" i="1" s="1"/>
  <c r="B337" i="1"/>
  <c r="H269" i="2" l="1"/>
  <c r="F270" i="2"/>
  <c r="G270" i="2" s="1"/>
  <c r="D337" i="1"/>
  <c r="C338" i="1" s="1"/>
  <c r="B338" i="1"/>
  <c r="H270" i="2" l="1"/>
  <c r="F271" i="2"/>
  <c r="G271" i="2" s="1"/>
  <c r="F272" i="2" s="1"/>
  <c r="D338" i="1"/>
  <c r="C339" i="1" s="1"/>
  <c r="B339" i="1"/>
  <c r="H271" i="2" l="1"/>
  <c r="G272" i="2" s="1"/>
  <c r="F273" i="2" s="1"/>
  <c r="D339" i="1"/>
  <c r="C340" i="1" s="1"/>
  <c r="B340" i="1"/>
  <c r="H272" i="2" l="1"/>
  <c r="G273" i="2" s="1"/>
  <c r="H273" i="2" s="1"/>
  <c r="D340" i="1"/>
  <c r="C341" i="1" s="1"/>
  <c r="B341" i="1"/>
  <c r="F274" i="2" l="1"/>
  <c r="G274" i="2" s="1"/>
  <c r="D341" i="1"/>
  <c r="C342" i="1" s="1"/>
  <c r="B342" i="1"/>
  <c r="F275" i="2" l="1"/>
  <c r="D342" i="1"/>
  <c r="C343" i="1" s="1"/>
  <c r="B343" i="1"/>
  <c r="H274" i="2" l="1"/>
  <c r="D343" i="1"/>
  <c r="C344" i="1" s="1"/>
  <c r="B344" i="1"/>
  <c r="G275" i="2" l="1"/>
  <c r="F276" i="2" s="1"/>
  <c r="D344" i="1"/>
  <c r="C345" i="1" s="1"/>
  <c r="B345" i="1"/>
  <c r="H275" i="2" l="1"/>
  <c r="G276" i="2" s="1"/>
  <c r="F277" i="2" s="1"/>
  <c r="D345" i="1"/>
  <c r="C346" i="1" s="1"/>
  <c r="B346" i="1"/>
  <c r="H276" i="2" l="1"/>
  <c r="G277" i="2"/>
  <c r="F278" i="2" s="1"/>
  <c r="D346" i="1"/>
  <c r="C347" i="1" s="1"/>
  <c r="B347" i="1"/>
  <c r="H277" i="2" l="1"/>
  <c r="D347" i="1"/>
  <c r="C348" i="1" s="1"/>
  <c r="B348" i="1"/>
  <c r="G278" i="2" l="1"/>
  <c r="F279" i="2" s="1"/>
  <c r="D348" i="1"/>
  <c r="C349" i="1" s="1"/>
  <c r="B349" i="1"/>
  <c r="H278" i="2" l="1"/>
  <c r="G279" i="2" s="1"/>
  <c r="H279" i="2" s="1"/>
  <c r="D349" i="1"/>
  <c r="C350" i="1" s="1"/>
  <c r="B350" i="1"/>
  <c r="F280" i="2" l="1"/>
  <c r="G280" i="2" s="1"/>
  <c r="H280" i="2" s="1"/>
  <c r="D350" i="1"/>
  <c r="C351" i="1" s="1"/>
  <c r="B351" i="1"/>
  <c r="F281" i="2" l="1"/>
  <c r="G281" i="2" s="1"/>
  <c r="D351" i="1"/>
  <c r="C352" i="1" s="1"/>
  <c r="B352" i="1"/>
  <c r="H281" i="2" l="1"/>
  <c r="D352" i="1"/>
  <c r="C353" i="1" s="1"/>
  <c r="B353" i="1"/>
  <c r="F282" i="2" l="1"/>
  <c r="G282" i="2" s="1"/>
  <c r="D353" i="1"/>
  <c r="C354" i="1" s="1"/>
  <c r="B354" i="1"/>
  <c r="H282" i="2" l="1"/>
  <c r="D354" i="1"/>
  <c r="C355" i="1" s="1"/>
  <c r="B355" i="1"/>
  <c r="F283" i="2" l="1"/>
  <c r="D355" i="1"/>
  <c r="C356" i="1" s="1"/>
  <c r="B356" i="1"/>
  <c r="G283" i="2" l="1"/>
  <c r="F284" i="2" s="1"/>
  <c r="D356" i="1"/>
  <c r="C357" i="1" s="1"/>
  <c r="B357" i="1"/>
  <c r="H283" i="2" l="1"/>
  <c r="G284" i="2" s="1"/>
  <c r="D357" i="1"/>
  <c r="C358" i="1" s="1"/>
  <c r="B358" i="1"/>
  <c r="F285" i="2" l="1"/>
  <c r="H284" i="2"/>
  <c r="D358" i="1"/>
  <c r="C359" i="1" s="1"/>
  <c r="B359" i="1"/>
  <c r="G285" i="2" l="1"/>
  <c r="H285" i="2" s="1"/>
  <c r="D359" i="1"/>
  <c r="C360" i="1" s="1"/>
  <c r="B360" i="1"/>
  <c r="F286" i="2" l="1"/>
  <c r="G286" i="2" s="1"/>
  <c r="D360" i="1"/>
  <c r="C361" i="1" s="1"/>
  <c r="B361" i="1"/>
  <c r="H286" i="2" l="1"/>
  <c r="F287" i="2"/>
  <c r="D361" i="1"/>
  <c r="C362" i="1" s="1"/>
  <c r="B362" i="1"/>
  <c r="G287" i="2" l="1"/>
  <c r="H287" i="2" s="1"/>
  <c r="D362" i="1"/>
  <c r="C363" i="1" s="1"/>
  <c r="B363" i="1"/>
  <c r="F288" i="2" l="1"/>
  <c r="G288" i="2" s="1"/>
  <c r="F289" i="2" s="1"/>
  <c r="D363" i="1"/>
  <c r="C364" i="1" s="1"/>
  <c r="B364" i="1"/>
  <c r="H288" i="2" l="1"/>
  <c r="G289" i="2" s="1"/>
  <c r="F290" i="2" s="1"/>
  <c r="D364" i="1"/>
  <c r="C365" i="1" s="1"/>
  <c r="B365" i="1"/>
  <c r="H289" i="2" l="1"/>
  <c r="D365" i="1"/>
  <c r="C366" i="1" s="1"/>
  <c r="B366" i="1"/>
  <c r="G290" i="2" l="1"/>
  <c r="F291" i="2" s="1"/>
  <c r="D366" i="1"/>
  <c r="C367" i="1" s="1"/>
  <c r="B367" i="1"/>
  <c r="H290" i="2" l="1"/>
  <c r="G291" i="2" s="1"/>
  <c r="D367" i="1"/>
  <c r="C368" i="1" s="1"/>
  <c r="B368" i="1"/>
  <c r="H291" i="2" l="1"/>
  <c r="F292" i="2"/>
  <c r="D368" i="1"/>
  <c r="C369" i="1" s="1"/>
  <c r="B369" i="1"/>
  <c r="G292" i="2" l="1"/>
  <c r="H292" i="2" s="1"/>
  <c r="D369" i="1"/>
  <c r="C370" i="1" s="1"/>
  <c r="B370" i="1"/>
  <c r="F293" i="2" l="1"/>
  <c r="G293" i="2" s="1"/>
  <c r="H293" i="2" s="1"/>
  <c r="D370" i="1"/>
  <c r="C371" i="1" s="1"/>
  <c r="B371" i="1"/>
  <c r="F294" i="2" l="1"/>
  <c r="G294" i="2" s="1"/>
  <c r="D371" i="1"/>
  <c r="C372" i="1" s="1"/>
  <c r="B372" i="1"/>
  <c r="H294" i="2" l="1"/>
  <c r="F295" i="2"/>
  <c r="D372" i="1"/>
  <c r="C373" i="1" s="1"/>
  <c r="B373" i="1"/>
  <c r="G295" i="2" l="1"/>
  <c r="F296" i="2" s="1"/>
  <c r="D373" i="1"/>
  <c r="C374" i="1" s="1"/>
  <c r="B374" i="1"/>
  <c r="H295" i="2" l="1"/>
  <c r="D374" i="1"/>
  <c r="C375" i="1" s="1"/>
  <c r="B375" i="1"/>
  <c r="G296" i="2" l="1"/>
  <c r="H296" i="2" s="1"/>
  <c r="D375" i="1"/>
  <c r="C376" i="1" s="1"/>
  <c r="B376" i="1"/>
  <c r="F297" i="2" l="1"/>
  <c r="D376" i="1"/>
  <c r="C377" i="1" s="1"/>
  <c r="B377" i="1"/>
  <c r="G297" i="2" l="1"/>
  <c r="F298" i="2" s="1"/>
  <c r="D377" i="1"/>
  <c r="C378" i="1" s="1"/>
  <c r="B378" i="1"/>
  <c r="H297" i="2" l="1"/>
  <c r="G298" i="2" s="1"/>
  <c r="H298" i="2" s="1"/>
  <c r="D378" i="1"/>
  <c r="C379" i="1" s="1"/>
  <c r="B379" i="1"/>
  <c r="F299" i="2" l="1"/>
  <c r="G299" i="2" s="1"/>
  <c r="D379" i="1"/>
  <c r="C380" i="1" s="1"/>
  <c r="B380" i="1"/>
  <c r="H299" i="2" l="1"/>
  <c r="F300" i="2"/>
  <c r="G300" i="2" s="1"/>
  <c r="D380" i="1"/>
  <c r="C381" i="1" s="1"/>
  <c r="B381" i="1"/>
  <c r="F301" i="2" l="1"/>
  <c r="D381" i="1"/>
  <c r="C382" i="1" s="1"/>
  <c r="B382" i="1"/>
  <c r="H300" i="2" l="1"/>
  <c r="G301" i="2" s="1"/>
  <c r="D382" i="1"/>
  <c r="C383" i="1" s="1"/>
  <c r="B383" i="1"/>
  <c r="H301" i="2" l="1"/>
  <c r="F302" i="2"/>
  <c r="G302" i="2" s="1"/>
  <c r="D383" i="1"/>
  <c r="C384" i="1" s="1"/>
  <c r="B384" i="1"/>
  <c r="H302" i="2" l="1"/>
  <c r="F303" i="2"/>
  <c r="D384" i="1"/>
  <c r="C385" i="1" s="1"/>
  <c r="B385" i="1"/>
  <c r="G303" i="2" l="1"/>
  <c r="F304" i="2" s="1"/>
  <c r="D385" i="1"/>
  <c r="C386" i="1" s="1"/>
  <c r="B386" i="1"/>
  <c r="H303" i="2" l="1"/>
  <c r="G304" i="2"/>
  <c r="H304" i="2" s="1"/>
  <c r="D386" i="1"/>
  <c r="C387" i="1" s="1"/>
  <c r="B387" i="1"/>
  <c r="F305" i="2" l="1"/>
  <c r="G305" i="2" s="1"/>
  <c r="H305" i="2" s="1"/>
  <c r="D387" i="1"/>
  <c r="C388" i="1" s="1"/>
  <c r="B388" i="1"/>
  <c r="F306" i="2" l="1"/>
  <c r="G306" i="2" s="1"/>
  <c r="F307" i="2" s="1"/>
  <c r="D388" i="1"/>
  <c r="C389" i="1" s="1"/>
  <c r="B389" i="1"/>
  <c r="H306" i="2" l="1"/>
  <c r="G307" i="2" s="1"/>
  <c r="H307" i="2" s="1"/>
  <c r="D389" i="1"/>
  <c r="C390" i="1" s="1"/>
  <c r="B390" i="1"/>
  <c r="F308" i="2" l="1"/>
  <c r="G308" i="2" s="1"/>
  <c r="D390" i="1"/>
  <c r="C391" i="1" s="1"/>
  <c r="B391" i="1"/>
  <c r="F309" i="2" l="1"/>
  <c r="H308" i="2"/>
  <c r="D391" i="1"/>
  <c r="C392" i="1" s="1"/>
  <c r="B392" i="1"/>
  <c r="G309" i="2" l="1"/>
  <c r="F310" i="2" s="1"/>
  <c r="D392" i="1"/>
  <c r="C393" i="1" s="1"/>
  <c r="B393" i="1"/>
  <c r="H309" i="2" l="1"/>
  <c r="G310" i="2" s="1"/>
  <c r="F311" i="2" s="1"/>
  <c r="D393" i="1"/>
  <c r="C394" i="1" s="1"/>
  <c r="B394" i="1"/>
  <c r="H310" i="2" l="1"/>
  <c r="G311" i="2" s="1"/>
  <c r="D394" i="1"/>
  <c r="C395" i="1" s="1"/>
  <c r="B395" i="1"/>
  <c r="H311" i="2" l="1"/>
  <c r="F312" i="2"/>
  <c r="D395" i="1"/>
  <c r="C396" i="1" s="1"/>
  <c r="B396" i="1"/>
  <c r="G312" i="2" l="1"/>
  <c r="F313" i="2" s="1"/>
  <c r="H312" i="2"/>
  <c r="D396" i="1"/>
  <c r="C397" i="1" s="1"/>
  <c r="B397" i="1"/>
  <c r="G313" i="2" l="1"/>
  <c r="F314" i="2" s="1"/>
  <c r="D397" i="1"/>
  <c r="C398" i="1" s="1"/>
  <c r="B398" i="1"/>
  <c r="H313" i="2" l="1"/>
  <c r="G314" i="2" s="1"/>
  <c r="H314" i="2" s="1"/>
  <c r="D398" i="1"/>
  <c r="C399" i="1" s="1"/>
  <c r="B399" i="1"/>
  <c r="F315" i="2" l="1"/>
  <c r="G315" i="2" s="1"/>
  <c r="F316" i="2" s="1"/>
  <c r="D399" i="1"/>
  <c r="C400" i="1" s="1"/>
  <c r="B400" i="1"/>
  <c r="H315" i="2" l="1"/>
  <c r="G316" i="2"/>
  <c r="F317" i="2" s="1"/>
  <c r="D400" i="1"/>
  <c r="C401" i="1" s="1"/>
  <c r="B401" i="1"/>
  <c r="H316" i="2" l="1"/>
  <c r="D401" i="1"/>
  <c r="C402" i="1" s="1"/>
  <c r="B402" i="1"/>
  <c r="G317" i="2" l="1"/>
  <c r="F318" i="2" s="1"/>
  <c r="D402" i="1"/>
  <c r="C403" i="1" s="1"/>
  <c r="B403" i="1"/>
  <c r="H317" i="2" l="1"/>
  <c r="G318" i="2" s="1"/>
  <c r="D403" i="1"/>
  <c r="C404" i="1" s="1"/>
  <c r="B404" i="1"/>
  <c r="H318" i="2" l="1"/>
  <c r="F319" i="2"/>
  <c r="D404" i="1"/>
  <c r="C405" i="1" s="1"/>
  <c r="B405" i="1"/>
  <c r="G319" i="2" l="1"/>
  <c r="F320" i="2" s="1"/>
  <c r="D405" i="1"/>
  <c r="C406" i="1" s="1"/>
  <c r="B406" i="1"/>
  <c r="H319" i="2" l="1"/>
  <c r="G320" i="2" s="1"/>
  <c r="H320" i="2" s="1"/>
  <c r="D406" i="1"/>
  <c r="C407" i="1" s="1"/>
  <c r="B407" i="1"/>
  <c r="F321" i="2" l="1"/>
  <c r="G321" i="2" s="1"/>
  <c r="F322" i="2" s="1"/>
  <c r="D407" i="1"/>
  <c r="C408" i="1" s="1"/>
  <c r="B408" i="1"/>
  <c r="H321" i="2" l="1"/>
  <c r="G322" i="2"/>
  <c r="F323" i="2" s="1"/>
  <c r="D408" i="1"/>
  <c r="C409" i="1" s="1"/>
  <c r="B409" i="1"/>
  <c r="H322" i="2" l="1"/>
  <c r="G323" i="2"/>
  <c r="H323" i="2" s="1"/>
  <c r="D409" i="1"/>
  <c r="C410" i="1" s="1"/>
  <c r="B410" i="1"/>
  <c r="F324" i="2" l="1"/>
  <c r="G324" i="2" s="1"/>
  <c r="D410" i="1"/>
  <c r="C411" i="1" s="1"/>
  <c r="B411" i="1"/>
  <c r="F325" i="2" l="1"/>
  <c r="D411" i="1"/>
  <c r="C412" i="1" s="1"/>
  <c r="B412" i="1"/>
  <c r="H324" i="2" l="1"/>
  <c r="D412" i="1"/>
  <c r="C413" i="1" s="1"/>
  <c r="B413" i="1"/>
  <c r="G325" i="2" l="1"/>
  <c r="F326" i="2" s="1"/>
  <c r="D413" i="1"/>
  <c r="C414" i="1" s="1"/>
  <c r="B414" i="1"/>
  <c r="H325" i="2" l="1"/>
  <c r="G326" i="2" s="1"/>
  <c r="D414" i="1"/>
  <c r="C415" i="1" s="1"/>
  <c r="B415" i="1"/>
  <c r="F327" i="2" l="1"/>
  <c r="H326" i="2"/>
  <c r="G327" i="2" s="1"/>
  <c r="F328" i="2" s="1"/>
  <c r="D415" i="1"/>
  <c r="C416" i="1" s="1"/>
  <c r="B416" i="1"/>
  <c r="H327" i="2" l="1"/>
  <c r="D416" i="1"/>
  <c r="C417" i="1" s="1"/>
  <c r="B417" i="1"/>
  <c r="G328" i="2" l="1"/>
  <c r="F329" i="2" s="1"/>
  <c r="D417" i="1"/>
  <c r="C418" i="1" s="1"/>
  <c r="B418" i="1"/>
  <c r="H328" i="2" l="1"/>
  <c r="G329" i="2" s="1"/>
  <c r="D418" i="1"/>
  <c r="C419" i="1" s="1"/>
  <c r="B419" i="1"/>
  <c r="H329" i="2" l="1"/>
  <c r="F330" i="2"/>
  <c r="G330" i="2" s="1"/>
  <c r="F331" i="2" s="1"/>
  <c r="D419" i="1"/>
  <c r="C420" i="1" s="1"/>
  <c r="B420" i="1"/>
  <c r="H330" i="2" l="1"/>
  <c r="G331" i="2" s="1"/>
  <c r="D420" i="1"/>
  <c r="C421" i="1" s="1"/>
  <c r="B421" i="1"/>
  <c r="F332" i="2" l="1"/>
  <c r="H331" i="2"/>
  <c r="D421" i="1"/>
  <c r="C422" i="1" s="1"/>
  <c r="B422" i="1"/>
  <c r="G332" i="2" l="1"/>
  <c r="D422" i="1"/>
  <c r="C423" i="1" s="1"/>
  <c r="B423" i="1"/>
  <c r="F333" i="2" l="1"/>
  <c r="H332" i="2"/>
  <c r="D423" i="1"/>
  <c r="C424" i="1" s="1"/>
  <c r="B424" i="1"/>
  <c r="G333" i="2" l="1"/>
  <c r="H333" i="2" s="1"/>
  <c r="D424" i="1"/>
  <c r="C425" i="1" s="1"/>
  <c r="B425" i="1"/>
  <c r="F334" i="2" l="1"/>
  <c r="D425" i="1"/>
  <c r="C426" i="1" s="1"/>
  <c r="B426" i="1"/>
  <c r="G334" i="2" l="1"/>
  <c r="F335" i="2" s="1"/>
  <c r="D426" i="1"/>
  <c r="C427" i="1" s="1"/>
  <c r="B427" i="1"/>
  <c r="H334" i="2" l="1"/>
  <c r="G335" i="2" s="1"/>
  <c r="H335" i="2" s="1"/>
  <c r="D427" i="1"/>
  <c r="C428" i="1" s="1"/>
  <c r="B428" i="1"/>
  <c r="F336" i="2" l="1"/>
  <c r="G336" i="2" s="1"/>
  <c r="F337" i="2" s="1"/>
  <c r="D428" i="1"/>
  <c r="C429" i="1" s="1"/>
  <c r="B429" i="1"/>
  <c r="H336" i="2" l="1"/>
  <c r="G337" i="2" s="1"/>
  <c r="D429" i="1"/>
  <c r="C430" i="1" s="1"/>
  <c r="B430" i="1"/>
  <c r="F338" i="2" l="1"/>
  <c r="H337" i="2"/>
  <c r="G338" i="2" s="1"/>
  <c r="D430" i="1"/>
  <c r="C431" i="1" s="1"/>
  <c r="B431" i="1"/>
  <c r="F339" i="2" l="1"/>
  <c r="H338" i="2"/>
  <c r="G339" i="2" s="1"/>
  <c r="F340" i="2" s="1"/>
  <c r="D431" i="1"/>
  <c r="C432" i="1" s="1"/>
  <c r="B432" i="1"/>
  <c r="H339" i="2" l="1"/>
  <c r="G340" i="2" s="1"/>
  <c r="D432" i="1"/>
  <c r="C433" i="1" s="1"/>
  <c r="B433" i="1"/>
  <c r="F341" i="2" l="1"/>
  <c r="H340" i="2"/>
  <c r="D433" i="1"/>
  <c r="C434" i="1" s="1"/>
  <c r="B434" i="1"/>
  <c r="G341" i="2" l="1"/>
  <c r="F342" i="2" s="1"/>
  <c r="D434" i="1"/>
  <c r="C435" i="1" s="1"/>
  <c r="B435" i="1"/>
  <c r="H341" i="2" l="1"/>
  <c r="G342" i="2" s="1"/>
  <c r="F343" i="2" s="1"/>
  <c r="D435" i="1"/>
  <c r="C436" i="1" s="1"/>
  <c r="B436" i="1"/>
  <c r="H342" i="2" l="1"/>
  <c r="G343" i="2"/>
  <c r="F344" i="2" s="1"/>
  <c r="D436" i="1"/>
  <c r="C437" i="1" s="1"/>
  <c r="B437" i="1"/>
  <c r="H343" i="2" l="1"/>
  <c r="G344" i="2" s="1"/>
  <c r="H344" i="2" s="1"/>
  <c r="D437" i="1"/>
  <c r="C438" i="1" s="1"/>
  <c r="B438" i="1"/>
  <c r="F345" i="2" l="1"/>
  <c r="G345" i="2" s="1"/>
  <c r="D438" i="1"/>
  <c r="C439" i="1" s="1"/>
  <c r="B439" i="1"/>
  <c r="H345" i="2" l="1"/>
  <c r="F346" i="2"/>
  <c r="D439" i="1"/>
  <c r="C440" i="1" s="1"/>
  <c r="B440" i="1"/>
  <c r="G346" i="2" l="1"/>
  <c r="H346" i="2" s="1"/>
  <c r="D440" i="1"/>
  <c r="C441" i="1" s="1"/>
  <c r="B441" i="1"/>
  <c r="F347" i="2" l="1"/>
  <c r="G347" i="2" s="1"/>
  <c r="F348" i="2" s="1"/>
  <c r="D441" i="1"/>
  <c r="C442" i="1" s="1"/>
  <c r="B442" i="1"/>
  <c r="H347" i="2" l="1"/>
  <c r="G348" i="2" s="1"/>
  <c r="H348" i="2" s="1"/>
  <c r="D442" i="1"/>
  <c r="C443" i="1" s="1"/>
  <c r="B443" i="1"/>
  <c r="F349" i="2" l="1"/>
  <c r="G349" i="2" s="1"/>
  <c r="D443" i="1"/>
  <c r="C444" i="1" s="1"/>
  <c r="B444" i="1"/>
  <c r="F350" i="2" l="1"/>
  <c r="H349" i="2"/>
  <c r="D444" i="1"/>
  <c r="C445" i="1" s="1"/>
  <c r="B445" i="1"/>
  <c r="G350" i="2" l="1"/>
  <c r="H350" i="2" s="1"/>
  <c r="D445" i="1"/>
  <c r="C446" i="1" s="1"/>
  <c r="B446" i="1"/>
  <c r="F351" i="2" l="1"/>
  <c r="G351" i="2"/>
  <c r="F352" i="2" s="1"/>
  <c r="D446" i="1"/>
  <c r="C447" i="1" s="1"/>
  <c r="B447" i="1"/>
  <c r="H351" i="2" l="1"/>
  <c r="D447" i="1"/>
  <c r="C448" i="1" s="1"/>
  <c r="B448" i="1"/>
  <c r="G352" i="2" l="1"/>
  <c r="F353" i="2" s="1"/>
  <c r="D448" i="1"/>
  <c r="C449" i="1" s="1"/>
  <c r="B449" i="1"/>
  <c r="H352" i="2" l="1"/>
  <c r="G353" i="2" s="1"/>
  <c r="D449" i="1"/>
  <c r="C450" i="1" s="1"/>
  <c r="B450" i="1"/>
  <c r="F354" i="2" l="1"/>
  <c r="H353" i="2"/>
  <c r="D450" i="1"/>
  <c r="C451" i="1" s="1"/>
  <c r="B451" i="1"/>
  <c r="G354" i="2" l="1"/>
  <c r="H354" i="2" s="1"/>
  <c r="D451" i="1"/>
  <c r="C452" i="1" s="1"/>
  <c r="B452" i="1"/>
  <c r="F355" i="2" l="1"/>
  <c r="G355" i="2" s="1"/>
  <c r="H355" i="2" s="1"/>
  <c r="D452" i="1"/>
  <c r="C453" i="1" s="1"/>
  <c r="B453" i="1"/>
  <c r="F356" i="2" l="1"/>
  <c r="G356" i="2" s="1"/>
  <c r="H356" i="2" s="1"/>
  <c r="D453" i="1"/>
  <c r="C454" i="1" s="1"/>
  <c r="B454" i="1"/>
  <c r="F357" i="2" l="1"/>
  <c r="G357" i="2" s="1"/>
  <c r="F358" i="2" s="1"/>
  <c r="D454" i="1"/>
  <c r="C455" i="1" s="1"/>
  <c r="B455" i="1"/>
  <c r="H357" i="2" l="1"/>
  <c r="D455" i="1"/>
  <c r="C456" i="1" s="1"/>
  <c r="B456" i="1"/>
  <c r="G358" i="2" l="1"/>
  <c r="H358" i="2" s="1"/>
  <c r="D456" i="1"/>
  <c r="C457" i="1" s="1"/>
  <c r="B457" i="1"/>
  <c r="F359" i="2" l="1"/>
  <c r="G359" i="2" s="1"/>
  <c r="H359" i="2" s="1"/>
  <c r="D457" i="1"/>
  <c r="C458" i="1" s="1"/>
  <c r="B458" i="1"/>
  <c r="F360" i="2" l="1"/>
  <c r="G360" i="2" s="1"/>
  <c r="D458" i="1"/>
  <c r="C459" i="1" s="1"/>
  <c r="B459" i="1"/>
  <c r="F361" i="2" l="1"/>
  <c r="D459" i="1"/>
  <c r="C460" i="1" s="1"/>
  <c r="B460" i="1"/>
  <c r="H360" i="2" l="1"/>
  <c r="D460" i="1"/>
  <c r="C461" i="1" s="1"/>
  <c r="B461" i="1"/>
  <c r="G361" i="2" l="1"/>
  <c r="H361" i="2" s="1"/>
  <c r="D461" i="1"/>
  <c r="C462" i="1" s="1"/>
  <c r="B462" i="1"/>
  <c r="F362" i="2" l="1"/>
  <c r="G362" i="2" s="1"/>
  <c r="F363" i="2" s="1"/>
  <c r="D462" i="1"/>
  <c r="C463" i="1" s="1"/>
  <c r="B463" i="1"/>
  <c r="H362" i="2" l="1"/>
  <c r="D463" i="1"/>
  <c r="C464" i="1" s="1"/>
  <c r="B464" i="1"/>
  <c r="G363" i="2" l="1"/>
  <c r="F364" i="2" s="1"/>
  <c r="D464" i="1"/>
  <c r="C465" i="1" s="1"/>
  <c r="B465" i="1"/>
  <c r="H363" i="2" l="1"/>
  <c r="G364" i="2" s="1"/>
  <c r="D465" i="1"/>
  <c r="C466" i="1" s="1"/>
  <c r="B466" i="1"/>
  <c r="H364" i="2" l="1"/>
  <c r="F365" i="2"/>
  <c r="G365" i="2" s="1"/>
  <c r="D466" i="1"/>
  <c r="C467" i="1" s="1"/>
  <c r="B467" i="1"/>
  <c r="H365" i="2" l="1"/>
  <c r="F366" i="2"/>
  <c r="D467" i="1"/>
  <c r="C468" i="1" s="1"/>
  <c r="B468" i="1"/>
  <c r="G366" i="2" l="1"/>
  <c r="F367" i="2" s="1"/>
  <c r="D468" i="1"/>
  <c r="C469" i="1" s="1"/>
  <c r="B469" i="1"/>
  <c r="H366" i="2" l="1"/>
  <c r="G367" i="2" s="1"/>
  <c r="D469" i="1"/>
  <c r="C470" i="1" s="1"/>
  <c r="B470" i="1"/>
  <c r="F368" i="2" l="1"/>
  <c r="H367" i="2"/>
  <c r="D470" i="1"/>
  <c r="C471" i="1" s="1"/>
  <c r="B471" i="1"/>
  <c r="G368" i="2" l="1"/>
  <c r="H368" i="2" s="1"/>
  <c r="D471" i="1"/>
  <c r="C472" i="1" s="1"/>
  <c r="B472" i="1"/>
  <c r="F369" i="2" l="1"/>
  <c r="G369" i="2" s="1"/>
  <c r="D472" i="1"/>
  <c r="C473" i="1" s="1"/>
  <c r="B473" i="1"/>
  <c r="H369" i="2" l="1"/>
  <c r="D473" i="1"/>
  <c r="C474" i="1" s="1"/>
  <c r="B474" i="1"/>
  <c r="F370" i="2" l="1"/>
  <c r="G370" i="2" s="1"/>
  <c r="D474" i="1"/>
  <c r="C475" i="1" s="1"/>
  <c r="B475" i="1"/>
  <c r="H370" i="2" l="1"/>
  <c r="D475" i="1"/>
  <c r="C476" i="1" s="1"/>
  <c r="B476" i="1"/>
  <c r="F371" i="2" l="1"/>
  <c r="G371" i="2" s="1"/>
  <c r="D476" i="1"/>
  <c r="C477" i="1" s="1"/>
  <c r="B477" i="1"/>
  <c r="F372" i="2" l="1"/>
  <c r="D477" i="1"/>
  <c r="C478" i="1" s="1"/>
  <c r="B478" i="1"/>
  <c r="H371" i="2" l="1"/>
  <c r="D478" i="1"/>
  <c r="C479" i="1" s="1"/>
  <c r="B479" i="1"/>
  <c r="G372" i="2" l="1"/>
  <c r="H372" i="2" s="1"/>
  <c r="D479" i="1"/>
  <c r="C480" i="1" s="1"/>
  <c r="B480" i="1"/>
  <c r="F373" i="2" l="1"/>
  <c r="G373" i="2" s="1"/>
  <c r="F374" i="2" s="1"/>
  <c r="D480" i="1"/>
  <c r="C481" i="1" s="1"/>
  <c r="B481" i="1"/>
  <c r="H373" i="2" l="1"/>
  <c r="D481" i="1"/>
  <c r="C482" i="1" s="1"/>
  <c r="B482" i="1"/>
  <c r="G374" i="2" l="1"/>
  <c r="F375" i="2" s="1"/>
  <c r="D482" i="1"/>
  <c r="C483" i="1" s="1"/>
  <c r="B483" i="1"/>
  <c r="H374" i="2" l="1"/>
  <c r="G375" i="2" s="1"/>
  <c r="H375" i="2" s="1"/>
  <c r="D483" i="1"/>
  <c r="C484" i="1" s="1"/>
  <c r="B484" i="1"/>
  <c r="F376" i="2" l="1"/>
  <c r="G376" i="2" s="1"/>
  <c r="F377" i="2" s="1"/>
  <c r="D484" i="1"/>
  <c r="C485" i="1" s="1"/>
  <c r="B485" i="1"/>
  <c r="H376" i="2" l="1"/>
  <c r="G377" i="2" s="1"/>
  <c r="F378" i="2" s="1"/>
  <c r="D485" i="1"/>
  <c r="C486" i="1" s="1"/>
  <c r="B486" i="1"/>
  <c r="H377" i="2" l="1"/>
  <c r="G378" i="2" s="1"/>
  <c r="F379" i="2" s="1"/>
  <c r="D486" i="1"/>
  <c r="C487" i="1" s="1"/>
  <c r="B487" i="1"/>
  <c r="H378" i="2" l="1"/>
  <c r="G379" i="2" s="1"/>
  <c r="F380" i="2" s="1"/>
  <c r="D487" i="1"/>
  <c r="C488" i="1" s="1"/>
  <c r="B488" i="1"/>
  <c r="H379" i="2" l="1"/>
  <c r="G380" i="2" s="1"/>
  <c r="F381" i="2" s="1"/>
  <c r="D488" i="1"/>
  <c r="C489" i="1" s="1"/>
  <c r="B489" i="1"/>
  <c r="H380" i="2" l="1"/>
  <c r="G381" i="2" s="1"/>
  <c r="F382" i="2" s="1"/>
  <c r="D489" i="1"/>
  <c r="C490" i="1" s="1"/>
  <c r="B490" i="1"/>
  <c r="H381" i="2" l="1"/>
  <c r="G382" i="2" s="1"/>
  <c r="D490" i="1"/>
  <c r="C491" i="1" s="1"/>
  <c r="B491" i="1"/>
  <c r="H382" i="2" l="1"/>
  <c r="F383" i="2"/>
  <c r="G383" i="2" s="1"/>
  <c r="F384" i="2" s="1"/>
  <c r="D491" i="1"/>
  <c r="C492" i="1" s="1"/>
  <c r="B492" i="1"/>
  <c r="H383" i="2" l="1"/>
  <c r="G384" i="2" s="1"/>
  <c r="H384" i="2" s="1"/>
  <c r="D492" i="1"/>
  <c r="C493" i="1" s="1"/>
  <c r="B493" i="1"/>
  <c r="F385" i="2" l="1"/>
  <c r="G385" i="2" s="1"/>
  <c r="H385" i="2" s="1"/>
  <c r="D493" i="1"/>
  <c r="C494" i="1" s="1"/>
  <c r="B494" i="1"/>
  <c r="F386" i="2" l="1"/>
  <c r="G386" i="2" s="1"/>
  <c r="F387" i="2" s="1"/>
  <c r="D494" i="1"/>
  <c r="C495" i="1" s="1"/>
  <c r="B495" i="1"/>
  <c r="H386" i="2" l="1"/>
  <c r="G387" i="2" s="1"/>
  <c r="D495" i="1"/>
  <c r="C496" i="1" s="1"/>
  <c r="B496" i="1"/>
  <c r="F388" i="2" l="1"/>
  <c r="H387" i="2"/>
  <c r="G388" i="2" s="1"/>
  <c r="H388" i="2" s="1"/>
  <c r="D496" i="1"/>
  <c r="C497" i="1" s="1"/>
  <c r="B497" i="1"/>
  <c r="F389" i="2" l="1"/>
  <c r="D497" i="1"/>
  <c r="C498" i="1" s="1"/>
  <c r="B498" i="1"/>
  <c r="G389" i="2" l="1"/>
  <c r="F390" i="2" s="1"/>
  <c r="D498" i="1"/>
  <c r="C499" i="1" s="1"/>
  <c r="B499" i="1"/>
  <c r="H389" i="2" l="1"/>
  <c r="G390" i="2" s="1"/>
  <c r="D499" i="1"/>
  <c r="C500" i="1" s="1"/>
  <c r="B500" i="1"/>
  <c r="H390" i="2" l="1"/>
  <c r="F391" i="2"/>
  <c r="D500" i="1"/>
  <c r="C501" i="1" s="1"/>
  <c r="B501" i="1"/>
  <c r="G391" i="2" l="1"/>
  <c r="H391" i="2" s="1"/>
  <c r="D501" i="1"/>
  <c r="C502" i="1" s="1"/>
  <c r="B502" i="1"/>
  <c r="F392" i="2" l="1"/>
  <c r="G392" i="2" s="1"/>
  <c r="F393" i="2" s="1"/>
  <c r="D502" i="1"/>
  <c r="C503" i="1" s="1"/>
  <c r="B503" i="1"/>
  <c r="H392" i="2" l="1"/>
  <c r="G393" i="2" s="1"/>
  <c r="F394" i="2" s="1"/>
  <c r="D503" i="1"/>
  <c r="C504" i="1" s="1"/>
  <c r="B504" i="1"/>
  <c r="H393" i="2" l="1"/>
  <c r="G394" i="2" s="1"/>
  <c r="F395" i="2" s="1"/>
  <c r="D504" i="1"/>
  <c r="C505" i="1" s="1"/>
  <c r="B505" i="1"/>
  <c r="H394" i="2" l="1"/>
  <c r="G395" i="2" s="1"/>
  <c r="H395" i="2" s="1"/>
  <c r="D505" i="1"/>
  <c r="C506" i="1" s="1"/>
  <c r="B506" i="1"/>
  <c r="F396" i="2" l="1"/>
  <c r="G396" i="2" s="1"/>
  <c r="D506" i="1"/>
  <c r="C507" i="1" s="1"/>
  <c r="B507" i="1"/>
  <c r="F397" i="2" l="1"/>
  <c r="H396" i="2"/>
  <c r="D507" i="1"/>
  <c r="C508" i="1" s="1"/>
  <c r="B508" i="1"/>
  <c r="G397" i="2" l="1"/>
  <c r="F398" i="2" s="1"/>
  <c r="D508" i="1"/>
  <c r="C509" i="1" s="1"/>
  <c r="B509" i="1"/>
  <c r="H397" i="2" l="1"/>
  <c r="G398" i="2" s="1"/>
  <c r="F399" i="2" s="1"/>
  <c r="D509" i="1"/>
  <c r="H398" i="2" l="1"/>
  <c r="G399" i="2" s="1"/>
  <c r="F400" i="2" l="1"/>
  <c r="H399" i="2"/>
  <c r="G400" i="2" l="1"/>
  <c r="H400" i="2" s="1"/>
  <c r="F401" i="2" l="1"/>
  <c r="G401" i="2" s="1"/>
  <c r="F402" i="2" s="1"/>
  <c r="H401" i="2" l="1"/>
  <c r="G402" i="2" s="1"/>
  <c r="H402" i="2" s="1"/>
  <c r="F403" i="2" l="1"/>
  <c r="G403" i="2" s="1"/>
  <c r="H403" i="2" s="1"/>
  <c r="F404" i="2" l="1"/>
  <c r="G404" i="2" l="1"/>
  <c r="F405" i="2" s="1"/>
  <c r="H404" i="2" l="1"/>
  <c r="G405" i="2" s="1"/>
  <c r="F406" i="2" s="1"/>
  <c r="H405" i="2" l="1"/>
  <c r="G406" i="2" s="1"/>
  <c r="H406" i="2" l="1"/>
  <c r="F407" i="2"/>
  <c r="G407" i="2" l="1"/>
  <c r="F408" i="2" s="1"/>
  <c r="H407" i="2" l="1"/>
  <c r="G408" i="2" s="1"/>
  <c r="F409" i="2" l="1"/>
  <c r="H408" i="2"/>
  <c r="G409" i="2" l="1"/>
  <c r="H409" i="2" s="1"/>
  <c r="F410" i="2" l="1"/>
  <c r="G410" i="2" l="1"/>
  <c r="F411" i="2" s="1"/>
  <c r="H410" i="2" l="1"/>
  <c r="G411" i="2" s="1"/>
  <c r="F412" i="2" l="1"/>
  <c r="H411" i="2"/>
  <c r="G412" i="2" l="1"/>
  <c r="F413" i="2" s="1"/>
  <c r="H412" i="2" l="1"/>
  <c r="G413" i="2" s="1"/>
  <c r="F414" i="2" s="1"/>
  <c r="H413" i="2" l="1"/>
  <c r="G414" i="2" s="1"/>
  <c r="F415" i="2" s="1"/>
  <c r="H414" i="2" l="1"/>
  <c r="G415" i="2" s="1"/>
  <c r="F416" i="2" s="1"/>
  <c r="H415" i="2" l="1"/>
  <c r="G416" i="2" s="1"/>
  <c r="H416" i="2" s="1"/>
  <c r="F417" i="2" l="1"/>
  <c r="G417" i="2" s="1"/>
  <c r="F418" i="2" s="1"/>
  <c r="H417" i="2" l="1"/>
  <c r="G418" i="2" s="1"/>
  <c r="H418" i="2" l="1"/>
  <c r="F419" i="2"/>
  <c r="G419" i="2" l="1"/>
  <c r="F420" i="2" s="1"/>
  <c r="H419" i="2" l="1"/>
  <c r="G420" i="2"/>
  <c r="H420" i="2" s="1"/>
  <c r="F421" i="2" l="1"/>
  <c r="G421" i="2" l="1"/>
  <c r="F422" i="2" s="1"/>
  <c r="H421" i="2" l="1"/>
  <c r="G422" i="2" s="1"/>
  <c r="F423" i="2" s="1"/>
  <c r="H422" i="2" l="1"/>
  <c r="G423" i="2" s="1"/>
  <c r="H423" i="2" s="1"/>
  <c r="F424" i="2" l="1"/>
  <c r="G424" i="2" l="1"/>
  <c r="F425" i="2" s="1"/>
  <c r="H424" i="2" l="1"/>
  <c r="G425" i="2" s="1"/>
  <c r="H425" i="2" s="1"/>
  <c r="F426" i="2" l="1"/>
  <c r="G426" i="2" l="1"/>
  <c r="F427" i="2" s="1"/>
  <c r="H426" i="2" l="1"/>
  <c r="G427" i="2" s="1"/>
  <c r="H427" i="2" l="1"/>
  <c r="F428" i="2"/>
  <c r="G428" i="2" l="1"/>
  <c r="H428" i="2" s="1"/>
  <c r="F429" i="2" l="1"/>
  <c r="G429" i="2" l="1"/>
  <c r="H429" i="2" s="1"/>
  <c r="F430" i="2" l="1"/>
  <c r="G430" i="2" l="1"/>
  <c r="H430" i="2" s="1"/>
  <c r="F431" i="2" l="1"/>
  <c r="G431" i="2" l="1"/>
  <c r="H431" i="2" s="1"/>
  <c r="F432" i="2" l="1"/>
  <c r="G432" i="2" l="1"/>
  <c r="F433" i="2" s="1"/>
  <c r="H432" i="2" l="1"/>
  <c r="G433" i="2" s="1"/>
  <c r="F434" i="2" l="1"/>
  <c r="H433" i="2"/>
  <c r="G434" i="2" l="1"/>
  <c r="F435" i="2" s="1"/>
  <c r="H434" i="2" l="1"/>
  <c r="G435" i="2"/>
  <c r="H435" i="2" s="1"/>
  <c r="F436" i="2" l="1"/>
  <c r="G436" i="2"/>
  <c r="F437" i="2" s="1"/>
  <c r="H436" i="2" l="1"/>
  <c r="G437" i="2" s="1"/>
  <c r="F438" i="2" s="1"/>
  <c r="H437" i="2" l="1"/>
  <c r="G438" i="2" s="1"/>
  <c r="F439" i="2" s="1"/>
  <c r="H438" i="2" l="1"/>
  <c r="G439" i="2" s="1"/>
  <c r="H439" i="2" l="1"/>
  <c r="F440" i="2"/>
  <c r="G440" i="2" l="1"/>
  <c r="F441" i="2" s="1"/>
  <c r="H440" i="2" l="1"/>
  <c r="G441" i="2" s="1"/>
  <c r="F442" i="2" s="1"/>
  <c r="H441" i="2" l="1"/>
  <c r="G442" i="2" s="1"/>
  <c r="H442" i="2" s="1"/>
  <c r="F443" i="2" l="1"/>
  <c r="G443" i="2" l="1"/>
  <c r="F444" i="2" s="1"/>
  <c r="H443" i="2" l="1"/>
  <c r="G444" i="2" s="1"/>
  <c r="F445" i="2" s="1"/>
  <c r="H444" i="2" l="1"/>
  <c r="G445" i="2" s="1"/>
  <c r="H445" i="2" l="1"/>
  <c r="F446" i="2"/>
  <c r="G446" i="2" l="1"/>
  <c r="H446" i="2" s="1"/>
  <c r="F447" i="2" l="1"/>
  <c r="G447" i="2" l="1"/>
  <c r="H447" i="2" s="1"/>
  <c r="F448" i="2" l="1"/>
  <c r="G448" i="2" l="1"/>
  <c r="F449" i="2" s="1"/>
  <c r="H448" i="2" l="1"/>
  <c r="G449" i="2" s="1"/>
  <c r="F450" i="2" s="1"/>
  <c r="H449" i="2" l="1"/>
  <c r="G450" i="2" s="1"/>
  <c r="F451" i="2" s="1"/>
  <c r="H450" i="2" l="1"/>
  <c r="G451" i="2" s="1"/>
  <c r="F452" i="2" s="1"/>
  <c r="H451" i="2" l="1"/>
  <c r="G452" i="2" s="1"/>
  <c r="F453" i="2" s="1"/>
  <c r="H452" i="2" l="1"/>
  <c r="G453" i="2" s="1"/>
  <c r="H453" i="2" s="1"/>
  <c r="F454" i="2" l="1"/>
  <c r="G454" i="2" s="1"/>
  <c r="H454" i="2" s="1"/>
  <c r="F455" i="2" l="1"/>
  <c r="G455" i="2" s="1"/>
  <c r="H455" i="2" s="1"/>
  <c r="F456" i="2" l="1"/>
  <c r="G456" i="2" s="1"/>
  <c r="F457" i="2" s="1"/>
  <c r="H456" i="2" l="1"/>
  <c r="G457" i="2" s="1"/>
  <c r="H457" i="2" s="1"/>
  <c r="F458" i="2" l="1"/>
  <c r="G458" i="2" l="1"/>
  <c r="H458" i="2" s="1"/>
  <c r="F459" i="2" l="1"/>
  <c r="G459" i="2" s="1"/>
  <c r="H459" i="2" s="1"/>
  <c r="F460" i="2" l="1"/>
  <c r="G460" i="2" l="1"/>
  <c r="F461" i="2" s="1"/>
  <c r="H460" i="2" l="1"/>
  <c r="G461" i="2" s="1"/>
  <c r="F462" i="2" l="1"/>
  <c r="H461" i="2"/>
  <c r="G462" i="2" l="1"/>
  <c r="H462" i="2" s="1"/>
  <c r="F463" i="2" l="1"/>
  <c r="G463" i="2" l="1"/>
  <c r="H463" i="2" s="1"/>
  <c r="F464" i="2" l="1"/>
  <c r="G464" i="2" l="1"/>
  <c r="F465" i="2" s="1"/>
  <c r="H464" i="2" l="1"/>
  <c r="G465" i="2" s="1"/>
  <c r="F466" i="2" s="1"/>
  <c r="H465" i="2" l="1"/>
  <c r="G466" i="2" s="1"/>
  <c r="H466" i="2" s="1"/>
  <c r="F467" i="2" l="1"/>
  <c r="G467" i="2" s="1"/>
  <c r="F468" i="2" l="1"/>
  <c r="H467" i="2"/>
  <c r="G468" i="2" l="1"/>
  <c r="H468" i="2" s="1"/>
  <c r="F469" i="2" l="1"/>
  <c r="G469" i="2" s="1"/>
  <c r="H469" i="2" l="1"/>
  <c r="F470" i="2"/>
  <c r="G470" i="2" l="1"/>
  <c r="F471" i="2" s="1"/>
  <c r="H470" i="2"/>
  <c r="G471" i="2" l="1"/>
  <c r="H471" i="2" s="1"/>
  <c r="F472" i="2" l="1"/>
  <c r="G472" i="2" s="1"/>
  <c r="H472" i="2" s="1"/>
  <c r="F473" i="2"/>
  <c r="G473" i="2" s="1"/>
  <c r="H473" i="2" s="1"/>
  <c r="F474" i="2" l="1"/>
  <c r="G474" i="2" s="1"/>
  <c r="H474" i="2" s="1"/>
  <c r="F475" i="2" l="1"/>
  <c r="G475" i="2" s="1"/>
  <c r="F476" i="2" l="1"/>
  <c r="H475" i="2"/>
  <c r="G476" i="2" l="1"/>
  <c r="F477" i="2" s="1"/>
  <c r="H476" i="2" l="1"/>
  <c r="G477" i="2" s="1"/>
  <c r="H477" i="2" s="1"/>
  <c r="F478" i="2" l="1"/>
  <c r="G478" i="2" s="1"/>
  <c r="F479" i="2" s="1"/>
  <c r="H478" i="2" l="1"/>
  <c r="G479" i="2" s="1"/>
  <c r="F480" i="2" s="1"/>
  <c r="H479" i="2" l="1"/>
  <c r="G480" i="2" s="1"/>
  <c r="F481" i="2" s="1"/>
  <c r="H480" i="2" l="1"/>
  <c r="G481" i="2" s="1"/>
  <c r="F482" i="2" s="1"/>
  <c r="H481" i="2" l="1"/>
  <c r="G482" i="2" s="1"/>
  <c r="F483" i="2" s="1"/>
  <c r="H482" i="2" l="1"/>
  <c r="G483" i="2" s="1"/>
  <c r="H483" i="2" l="1"/>
  <c r="F484" i="2"/>
  <c r="G484" i="2" l="1"/>
  <c r="H484" i="2" s="1"/>
  <c r="F485" i="2" l="1"/>
  <c r="G485" i="2" l="1"/>
  <c r="F486" i="2" s="1"/>
  <c r="H485" i="2" l="1"/>
  <c r="G486" i="2" s="1"/>
  <c r="F487" i="2" l="1"/>
  <c r="H486" i="2"/>
  <c r="G487" i="2" l="1"/>
  <c r="H487" i="2" s="1"/>
  <c r="F488" i="2" l="1"/>
  <c r="G488" i="2" l="1"/>
  <c r="F489" i="2" s="1"/>
  <c r="H488" i="2" l="1"/>
  <c r="G489" i="2" s="1"/>
  <c r="H489" i="2" l="1"/>
  <c r="F490" i="2"/>
  <c r="G490" i="2" l="1"/>
  <c r="F491" i="2" s="1"/>
  <c r="H490" i="2" l="1"/>
  <c r="G491" i="2" s="1"/>
  <c r="F492" i="2" l="1"/>
  <c r="H491" i="2"/>
  <c r="G492" i="2" l="1"/>
  <c r="H492" i="2" s="1"/>
  <c r="F493" i="2" l="1"/>
  <c r="G493" i="2" s="1"/>
  <c r="F494" i="2" s="1"/>
  <c r="H493" i="2" l="1"/>
  <c r="G494" i="2" s="1"/>
  <c r="H494" i="2" s="1"/>
  <c r="F495" i="2" l="1"/>
  <c r="G495" i="2" s="1"/>
  <c r="F496" i="2" l="1"/>
  <c r="H495" i="2"/>
  <c r="G496" i="2" s="1"/>
  <c r="F497" i="2" s="1"/>
  <c r="H496" i="2" l="1"/>
  <c r="G497" i="2" s="1"/>
  <c r="F498" i="2" s="1"/>
  <c r="H497" i="2" l="1"/>
  <c r="G498" i="2" s="1"/>
  <c r="F499" i="2" s="1"/>
  <c r="H498" i="2"/>
  <c r="G499" i="2" l="1"/>
  <c r="H499" i="2" s="1"/>
  <c r="F500" i="2" l="1"/>
  <c r="G500" i="2"/>
  <c r="F501" i="2" s="1"/>
  <c r="H500" i="2" l="1"/>
  <c r="G501" i="2" s="1"/>
  <c r="F502" i="2" s="1"/>
  <c r="H501" i="2" l="1"/>
  <c r="G502" i="2" s="1"/>
  <c r="F503" i="2" s="1"/>
  <c r="H502" i="2" l="1"/>
  <c r="G503" i="2" s="1"/>
  <c r="H503" i="2" s="1"/>
  <c r="F504" i="2" l="1"/>
  <c r="G504" i="2" l="1"/>
  <c r="H504" i="2" s="1"/>
  <c r="F505" i="2" l="1"/>
  <c r="G505" i="2" s="1"/>
  <c r="H505" i="2" s="1"/>
  <c r="F506" i="2" l="1"/>
  <c r="G506" i="2" s="1"/>
  <c r="F507" i="2" s="1"/>
  <c r="H506" i="2" l="1"/>
  <c r="G507" i="2" s="1"/>
  <c r="F508" i="2" s="1"/>
  <c r="H507" i="2" l="1"/>
  <c r="G508" i="2" s="1"/>
  <c r="F509" i="2" l="1"/>
  <c r="H508" i="2"/>
  <c r="G509" i="2" l="1"/>
  <c r="H509" i="2" l="1"/>
  <c r="F510" i="2"/>
  <c r="G510" i="2" s="1"/>
  <c r="H51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Bennett</author>
  </authors>
  <commentList>
    <comment ref="B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Peter Bennett:</t>
        </r>
        <r>
          <rPr>
            <sz val="9"/>
            <color indexed="81"/>
            <rFont val="Tahoma"/>
            <family val="2"/>
          </rPr>
          <t xml:space="preserve">
Size of +- push at resonance (Col J)</t>
        </r>
      </text>
    </comment>
    <comment ref="F8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Value at t=1 exactly
</t>
        </r>
      </text>
    </comment>
    <comment ref="F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Peter Bennett:</t>
        </r>
        <r>
          <rPr>
            <sz val="9"/>
            <color indexed="81"/>
            <rFont val="Tahoma"/>
            <family val="2"/>
          </rPr>
          <t xml:space="preserve">
Set X1 to start oscillator to see free decay.
Else set X1=0
</t>
        </r>
      </text>
    </comment>
  </commentList>
</comments>
</file>

<file path=xl/sharedStrings.xml><?xml version="1.0" encoding="utf-8"?>
<sst xmlns="http://schemas.openxmlformats.org/spreadsheetml/2006/main" count="116" uniqueCount="74">
  <si>
    <t>t</t>
  </si>
  <si>
    <t>v</t>
  </si>
  <si>
    <t>a</t>
  </si>
  <si>
    <t>dt</t>
  </si>
  <si>
    <t>m</t>
  </si>
  <si>
    <t>k</t>
  </si>
  <si>
    <t>kg</t>
  </si>
  <si>
    <t>N/m</t>
  </si>
  <si>
    <t>x0</t>
  </si>
  <si>
    <t>b</t>
  </si>
  <si>
    <t>bb</t>
  </si>
  <si>
    <t>Fudge</t>
  </si>
  <si>
    <t>Damping</t>
  </si>
  <si>
    <t>c</t>
  </si>
  <si>
    <t>d</t>
  </si>
  <si>
    <t>e</t>
  </si>
  <si>
    <t>f</t>
  </si>
  <si>
    <t>g</t>
  </si>
  <si>
    <t>h</t>
  </si>
  <si>
    <t>Push</t>
  </si>
  <si>
    <t>i</t>
  </si>
  <si>
    <t>x</t>
  </si>
  <si>
    <t>Macro</t>
  </si>
  <si>
    <t>FreeRun</t>
  </si>
  <si>
    <t>Cancels numerical error in Euler</t>
  </si>
  <si>
    <t>step/period</t>
  </si>
  <si>
    <t>Parameters for vLab Simulator</t>
  </si>
  <si>
    <t>Var</t>
  </si>
  <si>
    <t>Val</t>
  </si>
  <si>
    <t>Units</t>
  </si>
  <si>
    <t>Description</t>
  </si>
  <si>
    <t>Source</t>
  </si>
  <si>
    <t>L</t>
  </si>
  <si>
    <t xml:space="preserve">m </t>
  </si>
  <si>
    <t>Boom length</t>
  </si>
  <si>
    <t>PAB-2 p17 (12-20-12)</t>
  </si>
  <si>
    <t>w</t>
  </si>
  <si>
    <t>Window width</t>
  </si>
  <si>
    <t>M</t>
  </si>
  <si>
    <t>Omga</t>
  </si>
  <si>
    <t>rad/sec</t>
  </si>
  <si>
    <t>G</t>
  </si>
  <si>
    <t>SI</t>
  </si>
  <si>
    <t>RRR</t>
  </si>
  <si>
    <t>R large M</t>
  </si>
  <si>
    <t>rr</t>
  </si>
  <si>
    <t>r small m</t>
  </si>
  <si>
    <t>Calcs</t>
  </si>
  <si>
    <t>s</t>
  </si>
  <si>
    <t>Separation of sphere centers</t>
  </si>
  <si>
    <t>Qs</t>
  </si>
  <si>
    <t>mRad</t>
  </si>
  <si>
    <t>Static deflec angle</t>
  </si>
  <si>
    <t>F0</t>
  </si>
  <si>
    <t>Empirical F(q) function for "Swing"</t>
  </si>
  <si>
    <t>Dial</t>
  </si>
  <si>
    <t>tan()</t>
  </si>
  <si>
    <t>nb: physically, 1mm in "s" is 4% in Force</t>
  </si>
  <si>
    <t>Noise</t>
  </si>
  <si>
    <t>NoiseAmp</t>
  </si>
  <si>
    <t>Settings values for Simulator</t>
  </si>
  <si>
    <t>Case1</t>
  </si>
  <si>
    <t>Case2</t>
  </si>
  <si>
    <t>How to encode the Force vs position for "Swing".</t>
  </si>
  <si>
    <t>X0</t>
  </si>
  <si>
    <t>F1</t>
  </si>
  <si>
    <t>F(x)</t>
  </si>
  <si>
    <t>Last step should be similar to Real Force change w/ 1mm resolution (~6%)</t>
  </si>
  <si>
    <t>D0</t>
  </si>
  <si>
    <t>Alarm</t>
  </si>
  <si>
    <t>Starting value Force (j=1)</t>
  </si>
  <si>
    <t>Fs</t>
  </si>
  <si>
    <t>SwingForce function</t>
  </si>
  <si>
    <t xml:space="preserve">Amplitude of noise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</si>
</sst>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16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Font="1" applyFill="1"/>
    <xf numFmtId="165" fontId="0" fillId="0" borderId="0" xfId="0" applyNumberFormat="1"/>
    <xf numFmtId="11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Euler!$B$8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Euler!$A$9:$A$509</c:f>
              <c:numCache>
                <c:formatCode>0.000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</c:numCache>
            </c:numRef>
          </c:xVal>
          <c:yVal>
            <c:numRef>
              <c:f>Euler!$B$9:$B$509</c:f>
              <c:numCache>
                <c:formatCode>0.000</c:formatCode>
                <c:ptCount val="501"/>
                <c:pt idx="0">
                  <c:v>1</c:v>
                </c:pt>
                <c:pt idx="1">
                  <c:v>1</c:v>
                </c:pt>
                <c:pt idx="2">
                  <c:v>0.96879999999999999</c:v>
                </c:pt>
                <c:pt idx="3">
                  <c:v>0.90807232000000004</c:v>
                </c:pt>
                <c:pt idx="4">
                  <c:v>0.8203730836480001</c:v>
                </c:pt>
                <c:pt idx="5">
                  <c:v>0.70904266998046728</c:v>
                </c:pt>
                <c:pt idx="6">
                  <c:v>0.5780839262756966</c:v>
                </c:pt>
                <c:pt idx="7">
                  <c:v>0.43202243993011108</c:v>
                </c:pt>
                <c:pt idx="8">
                  <c:v>0.2757536307528472</c:v>
                </c:pt>
                <c:pt idx="9">
                  <c:v>0.11438172962166521</c:v>
                </c:pt>
                <c:pt idx="10">
                  <c:v>-4.6944150888374253E-2</c:v>
                </c:pt>
                <c:pt idx="11">
                  <c:v>-0.20319167416727155</c:v>
                </c:pt>
                <c:pt idx="12">
                  <c:v>-0.34959967269070269</c:v>
                </c:pt>
                <c:pt idx="13">
                  <c:v>-0.48182062225925903</c:v>
                </c:pt>
                <c:pt idx="14">
                  <c:v>-0.59604701914299085</c:v>
                </c:pt>
                <c:pt idx="15">
                  <c:v>-0.68911807773926581</c:v>
                </c:pt>
                <c:pt idx="16">
                  <c:v>-0.75860386059751905</c:v>
                </c:pt>
                <c:pt idx="17">
                  <c:v>-0.80286472146910481</c:v>
                </c:pt>
                <c:pt idx="18">
                  <c:v>-0.82108475974733097</c:v>
                </c:pt>
                <c:pt idx="19">
                  <c:v>-0.81327882466400814</c:v>
                </c:pt>
                <c:pt idx="20">
                  <c:v>-0.78027344319703473</c:v>
                </c:pt>
                <c:pt idx="21">
                  <c:v>-0.72366285084717408</c:v>
                </c:pt>
                <c:pt idx="22">
                  <c:v>-0.64574205481951841</c:v>
                </c:pt>
                <c:pt idx="23">
                  <c:v>-0.5494195325125133</c:v>
                </c:pt>
                <c:pt idx="24">
                  <c:v>-0.43811274529079469</c:v>
                </c:pt>
                <c:pt idx="25">
                  <c:v>-0.3156301124497698</c:v>
                </c:pt>
                <c:pt idx="26">
                  <c:v>-0.186043431075951</c:v>
                </c:pt>
                <c:pt idx="27">
                  <c:v>-5.3554936315336088E-2</c:v>
                </c:pt>
                <c:pt idx="28">
                  <c:v>7.7636730175679541E-2</c:v>
                </c:pt>
                <c:pt idx="29">
                  <c:v>0.20346743735581521</c:v>
                </c:pt>
                <c:pt idx="30">
                  <c:v>0.3201313526496144</c:v>
                </c:pt>
                <c:pt idx="31">
                  <c:v>0.42419389803816454</c:v>
                </c:pt>
                <c:pt idx="32">
                  <c:v>0.51269059279122042</c:v>
                </c:pt>
                <c:pt idx="33">
                  <c:v>0.58320901508672174</c:v>
                </c:pt>
                <c:pt idx="34">
                  <c:v>0.63395170345209817</c:v>
                </c:pt>
                <c:pt idx="35">
                  <c:v>0.66377846245038463</c:v>
                </c:pt>
                <c:pt idx="36">
                  <c:v>0.67222721401865748</c:v>
                </c:pt>
                <c:pt idx="37">
                  <c:v>0.65951322447441896</c:v>
                </c:pt>
                <c:pt idx="38">
                  <c:v>0.62650721569236945</c:v>
                </c:pt>
                <c:pt idx="39">
                  <c:v>0.57469351637743593</c:v>
                </c:pt>
                <c:pt idx="40">
                  <c:v>0.50611000621618096</c:v>
                </c:pt>
                <c:pt idx="41">
                  <c:v>0.42327213448859324</c:v>
                </c:pt>
                <c:pt idx="42">
                  <c:v>0.32908374049165939</c:v>
                </c:pt>
                <c:pt idx="43">
                  <c:v>0.22673775381691708</c:v>
                </c:pt>
                <c:pt idx="44">
                  <c:v>0.11961009932460118</c:v>
                </c:pt>
                <c:pt idx="45">
                  <c:v>1.1150269193985596E-2</c:v>
                </c:pt>
                <c:pt idx="46">
                  <c:v>-9.5227949140556545E-2</c:v>
                </c:pt>
                <c:pt idx="47">
                  <c:v>-0.19625218337121958</c:v>
                </c:pt>
                <c:pt idx="48">
                  <c:v>-0.28889040663393373</c:v>
                </c:pt>
                <c:pt idx="49">
                  <c:v>-0.37044015300858435</c:v>
                </c:pt>
                <c:pt idx="50">
                  <c:v>-0.43860545229057496</c:v>
                </c:pt>
                <c:pt idx="51">
                  <c:v>-0.49155935875718304</c:v>
                </c:pt>
                <c:pt idx="52">
                  <c:v>-0.52799044572571496</c:v>
                </c:pt>
                <c:pt idx="53">
                  <c:v>-0.54713217443950946</c:v>
                </c:pt>
                <c:pt idx="54">
                  <c:v>-0.5487746045876023</c:v>
                </c:pt>
                <c:pt idx="55">
                  <c:v>-0.53325847663724468</c:v>
                </c:pt>
                <c:pt idx="56">
                  <c:v>-0.50145224548189304</c:v>
                </c:pt>
                <c:pt idx="57">
                  <c:v>-0.45471316384538618</c:v>
                </c:pt>
                <c:pt idx="58">
                  <c:v>-0.39483398692556104</c:v>
                </c:pt>
                <c:pt idx="59">
                  <c:v>-0.32397728317666247</c:v>
                </c:pt>
                <c:pt idx="60">
                  <c:v>-0.24459967835662738</c:v>
                </c:pt>
                <c:pt idx="61">
                  <c:v>-0.15936862191983431</c:v>
                </c:pt>
                <c:pt idx="62">
                  <c:v>-7.1074440143326562E-2</c:v>
                </c:pt>
                <c:pt idx="63">
                  <c:v>1.7459474493859206E-2</c:v>
                </c:pt>
                <c:pt idx="64">
                  <c:v>0.1034654938389636</c:v>
                </c:pt>
                <c:pt idx="65">
                  <c:v>0.18431685494296199</c:v>
                </c:pt>
                <c:pt idx="66">
                  <c:v>0.25760645968401041</c:v>
                </c:pt>
                <c:pt idx="67">
                  <c:v>0.32121705573671822</c:v>
                </c:pt>
                <c:pt idx="68">
                  <c:v>0.37338080229885973</c:v>
                </c:pt>
                <c:pt idx="69">
                  <c:v>0.41272659990628485</c:v>
                </c:pt>
                <c:pt idx="70">
                  <c:v>0.43831398173022756</c:v>
                </c:pt>
                <c:pt idx="71">
                  <c:v>0.44965280997133089</c:v>
                </c:pt>
                <c:pt idx="72">
                  <c:v>0.44670848078872799</c:v>
                </c:pt>
                <c:pt idx="73">
                  <c:v>0.42989279997920704</c:v>
                </c:pt>
                <c:pt idx="74">
                  <c:v>0.40004113506046812</c:v>
                </c:pt>
                <c:pt idx="75">
                  <c:v>0.35837686402202235</c:v>
                </c:pt>
                <c:pt idx="76">
                  <c:v>0.30646451449735068</c:v>
                </c:pt>
                <c:pt idx="77">
                  <c:v>0.24615330874971431</c:v>
                </c:pt>
                <c:pt idx="78">
                  <c:v>0.17951309077783389</c:v>
                </c:pt>
                <c:pt idx="79">
                  <c:v>0.10876480525625518</c:v>
                </c:pt>
                <c:pt idx="80">
                  <c:v>3.6207819406364666E-2</c:v>
                </c:pt>
                <c:pt idx="81">
                  <c:v>-3.5853573925966872E-2</c:v>
                </c:pt>
                <c:pt idx="82">
                  <c:v>-0.10518216054116401</c:v>
                </c:pt>
                <c:pt idx="83">
                  <c:v>-0.16967610340729644</c:v>
                </c:pt>
                <c:pt idx="84">
                  <c:v>-0.22743148752691983</c:v>
                </c:pt>
                <c:pt idx="85">
                  <c:v>-0.27679728863142378</c:v>
                </c:pt>
                <c:pt idx="86">
                  <c:v>-0.31642122038588638</c:v>
                </c:pt>
                <c:pt idx="87">
                  <c:v>-0.34528523399300937</c:v>
                </c:pt>
                <c:pt idx="88">
                  <c:v>-0.36272979439475095</c:v>
                </c:pt>
                <c:pt idx="89">
                  <c:v>-0.36846642705837729</c:v>
                </c:pt>
                <c:pt idx="90">
                  <c:v>-0.36257840662611701</c:v>
                </c:pt>
                <c:pt idx="91">
                  <c:v>-0.34550983156480453</c:v>
                </c:pt>
                <c:pt idx="92">
                  <c:v>-0.3180436858400435</c:v>
                </c:pt>
                <c:pt idx="93">
                  <c:v>-0.2812698187813078</c:v>
                </c:pt>
                <c:pt idx="94">
                  <c:v>-0.23654406799871097</c:v>
                </c:pt>
                <c:pt idx="95">
                  <c:v>-0.18543999911208453</c:v>
                </c:pt>
                <c:pt idx="96">
                  <c:v>-0.12969493339622148</c:v>
                </c:pt>
                <c:pt idx="97">
                  <c:v>-7.1152075230431655E-2</c:v>
                </c:pt>
                <c:pt idx="98">
                  <c:v>-1.170063234036605E-2</c:v>
                </c:pt>
                <c:pt idx="99">
                  <c:v>4.6784157957981506E-2</c:v>
                </c:pt>
                <c:pt idx="100">
                  <c:v>0.10249922322535705</c:v>
                </c:pt>
                <c:pt idx="101">
                  <c:v>0.15376829526611224</c:v>
                </c:pt>
                <c:pt idx="102">
                  <c:v>0.1990913692808518</c:v>
                </c:pt>
                <c:pt idx="103">
                  <c:v>0.23718755571609862</c:v>
                </c:pt>
                <c:pt idx="104">
                  <c:v>0.26703013583685364</c:v>
                </c:pt>
                <c:pt idx="105">
                  <c:v>0.28787290192479392</c:v>
                </c:pt>
                <c:pt idx="106">
                  <c:v>0.29926715551231076</c:v>
                </c:pt>
                <c:pt idx="107">
                  <c:v>0.30106904256748312</c:v>
                </c:pt>
                <c:pt idx="108">
                  <c:v>0.29343721322451416</c:v>
                </c:pt>
                <c:pt idx="109">
                  <c:v>0.27682109580622288</c:v>
                </c:pt>
                <c:pt idx="110">
                  <c:v>0.25194036122894714</c:v>
                </c:pt>
                <c:pt idx="111">
                  <c:v>0.21975641583585925</c:v>
                </c:pt>
                <c:pt idx="112">
                  <c:v>0.18143699064549773</c:v>
                </c:pt>
                <c:pt idx="113">
                  <c:v>0.13831508647126076</c:v>
                </c:pt>
                <c:pt idx="114">
                  <c:v>9.1843682252623363E-2</c:v>
                </c:pt>
                <c:pt idx="115">
                  <c:v>4.3547714602201595E-2</c:v>
                </c:pt>
                <c:pt idx="116">
                  <c:v>-5.0251120684394121E-3</c:v>
                </c:pt>
                <c:pt idx="117">
                  <c:v>-5.2353123925122751E-2</c:v>
                </c:pt>
                <c:pt idx="118">
                  <c:v>-9.6987570849752555E-2</c:v>
                </c:pt>
                <c:pt idx="119">
                  <c:v>-0.13759619395275838</c:v>
                </c:pt>
                <c:pt idx="120">
                  <c:v>-0.17300218264693079</c:v>
                </c:pt>
                <c:pt idx="121">
                  <c:v>-0.20221740909576952</c:v>
                </c:pt>
                <c:pt idx="122">
                  <c:v>-0.22446903130836623</c:v>
                </c:pt>
                <c:pt idx="123">
                  <c:v>-0.23921878340657976</c:v>
                </c:pt>
                <c:pt idx="124">
                  <c:v>-0.24617451501550802</c:v>
                </c:pt>
                <c:pt idx="125">
                  <c:v>-0.24529379336791243</c:v>
                </c:pt>
                <c:pt idx="126">
                  <c:v>-0.23677963353214412</c:v>
                </c:pt>
                <c:pt idx="127">
                  <c:v>-0.22106866631049413</c:v>
                </c:pt>
                <c:pt idx="128">
                  <c:v>-0.19881228236572168</c:v>
                </c:pt>
                <c:pt idx="129">
                  <c:v>-0.17085149821150161</c:v>
                </c:pt>
                <c:pt idx="130">
                  <c:v>-0.13818646887813724</c:v>
                </c:pt>
                <c:pt idx="131">
                  <c:v>-0.10194171837284233</c:v>
                </c:pt>
                <c:pt idx="132">
                  <c:v>-6.3328268665633347E-2</c:v>
                </c:pt>
                <c:pt idx="133">
                  <c:v>-2.360391824949809E-2</c:v>
                </c:pt>
                <c:pt idx="134">
                  <c:v>1.5967048966700079E-2</c:v>
                </c:pt>
                <c:pt idx="135">
                  <c:v>5.4153454589494367E-2</c:v>
                </c:pt>
                <c:pt idx="136">
                  <c:v>8.9794896943145838E-2</c:v>
                </c:pt>
                <c:pt idx="137">
                  <c:v>0.12183637020344937</c:v>
                </c:pt>
                <c:pt idx="138">
                  <c:v>0.14935881971237447</c:v>
                </c:pt>
                <c:pt idx="139">
                  <c:v>0.17160477117727357</c:v>
                </c:pt>
                <c:pt idx="140">
                  <c:v>0.18799834446862801</c:v>
                </c:pt>
                <c:pt idx="141">
                  <c:v>0.1981591533708349</c:v>
                </c:pt>
                <c:pt idx="142">
                  <c:v>0.20190979456846231</c:v>
                </c:pt>
                <c:pt idx="143">
                  <c:v>0.19927683581272684</c:v>
                </c:pt>
                <c:pt idx="144">
                  <c:v>0.19048541805576277</c:v>
                </c:pt>
                <c:pt idx="145">
                  <c:v>0.1759477830132149</c:v>
                </c:pt>
                <c:pt idx="146">
                  <c:v>0.1562462201656078</c:v>
                </c:pt>
                <c:pt idx="147">
                  <c:v>0.13211109025662013</c:v>
                </c:pt>
                <c:pt idx="148">
                  <c:v>0.10439472124158723</c:v>
                </c:pt>
                <c:pt idx="149">
                  <c:v>7.404208358975356E-2</c:v>
                </c:pt>
                <c:pt idx="150">
                  <c:v>4.2059232013320645E-2</c:v>
                </c:pt>
                <c:pt idx="151">
                  <c:v>9.4805482733842233E-3</c:v>
                </c:pt>
                <c:pt idx="152">
                  <c:v>-2.2664166056907208E-2</c:v>
                </c:pt>
                <c:pt idx="153">
                  <c:v>-5.3381716805224605E-2</c:v>
                </c:pt>
                <c:pt idx="154">
                  <c:v>-8.1745684852456688E-2</c:v>
                </c:pt>
                <c:pt idx="155">
                  <c:v>-0.10692383464803412</c:v>
                </c:pt>
                <c:pt idx="156">
                  <c:v>-0.12820197024717195</c:v>
                </c:pt>
                <c:pt idx="157">
                  <c:v>-0.14500357413717732</c:v>
                </c:pt>
                <c:pt idx="158">
                  <c:v>-0.15690471058696664</c:v>
                </c:pt>
                <c:pt idx="159">
                  <c:v>-0.16364383460996734</c:v>
                </c:pt>
                <c:pt idx="160">
                  <c:v>-0.16512631461502184</c:v>
                </c:pt>
                <c:pt idx="161">
                  <c:v>-0.16142364605197443</c:v>
                </c:pt>
                <c:pt idx="162">
                  <c:v>-0.15276749950791768</c:v>
                </c:pt>
                <c:pt idx="163">
                  <c:v>-0.13953890466180077</c:v>
                </c:pt>
                <c:pt idx="164">
                  <c:v>-0.1222530165147887</c:v>
                </c:pt>
                <c:pt idx="165">
                  <c:v>-0.10154003814700829</c:v>
                </c:pt>
                <c:pt idx="166">
                  <c:v>-7.8122981304479505E-2</c:v>
                </c:pt>
                <c:pt idx="167">
                  <c:v>-5.2793029518523604E-2</c:v>
                </c:pt>
                <c:pt idx="168">
                  <c:v>-2.6383326131595178E-2</c:v>
                </c:pt>
                <c:pt idx="169">
                  <c:v>2.5795967477182033E-4</c:v>
                </c:pt>
                <c:pt idx="170">
                  <c:v>2.6294432337223318E-2</c:v>
                </c:pt>
                <c:pt idx="171">
                  <c:v>5.0927301723114535E-2</c:v>
                </c:pt>
                <c:pt idx="172">
                  <c:v>7.3419463021000608E-2</c:v>
                </c:pt>
                <c:pt idx="173">
                  <c:v>9.3117112659558826E-2</c:v>
                </c:pt>
                <c:pt idx="174">
                  <c:v>0.1094682810312351</c:v>
                </c:pt>
                <c:pt idx="175">
                  <c:v>0.1220377728632113</c:v>
                </c:pt>
                <c:pt idx="176">
                  <c:v>0.13051812956481904</c:v>
                </c:pt>
                <c:pt idx="177">
                  <c:v>0.13473636063388841</c:v>
                </c:pt>
                <c:pt idx="178">
                  <c:v>0.13465632887523329</c:v>
                </c:pt>
                <c:pt idx="179">
                  <c:v>0.13037681236706478</c:v>
                </c:pt>
                <c:pt idx="180">
                  <c:v>0.12212540048282682</c:v>
                </c:pt>
                <c:pt idx="181">
                  <c:v>0.11024850772973159</c:v>
                </c:pt>
                <c:pt idx="182">
                  <c:v>9.5197903933138067E-2</c:v>
                </c:pt>
                <c:pt idx="183">
                  <c:v>7.7514259058874338E-2</c:v>
                </c:pt>
                <c:pt idx="184">
                  <c:v>5.7808282947157237E-2</c:v>
                </c:pt>
                <c:pt idx="185">
                  <c:v>3.6740102272391294E-2</c:v>
                </c:pt>
                <c:pt idx="186">
                  <c:v>1.49975576538415E-2</c:v>
                </c:pt>
                <c:pt idx="187">
                  <c:v>-6.7258777640526318E-3</c:v>
                </c:pt>
                <c:pt idx="188">
                  <c:v>-2.7752860842347495E-2</c:v>
                </c:pt>
                <c:pt idx="189">
                  <c:v>-4.7442950241407308E-2</c:v>
                </c:pt>
                <c:pt idx="190">
                  <c:v>-6.5211761590396281E-2</c:v>
                </c:pt>
                <c:pt idx="191">
                  <c:v>-8.0547944603547528E-2</c:v>
                </c:pt>
                <c:pt idx="192">
                  <c:v>-9.3027501245573505E-2</c:v>
                </c:pt>
                <c:pt idx="193">
                  <c:v>-0.10232505777995621</c:v>
                </c:pt>
                <c:pt idx="194">
                  <c:v>-0.10822180724523411</c:v>
                </c:pt>
                <c:pt idx="195">
                  <c:v>-0.11060994913643848</c:v>
                </c:pt>
                <c:pt idx="196">
                  <c:v>-0.109493566236223</c:v>
                </c:pt>
                <c:pt idx="197">
                  <c:v>-0.10498599104640219</c:v>
                </c:pt>
                <c:pt idx="198">
                  <c:v>-9.7303822620185609E-2</c:v>
                </c:pt>
                <c:pt idx="199">
                  <c:v>-8.6757855500966485E-2</c:v>
                </c:pt>
                <c:pt idx="200">
                  <c:v>-7.3741272953587719E-2</c:v>
                </c:pt>
                <c:pt idx="201">
                  <c:v>-5.87155341391183E-2</c:v>
                </c:pt>
                <c:pt idx="202">
                  <c:v>-4.2194447208952504E-2</c:v>
                </c:pt>
                <c:pt idx="203">
                  <c:v>-2.4726965873103104E-2</c:v>
                </c:pt>
                <c:pt idx="204">
                  <c:v>-6.8792747839359139E-3</c:v>
                </c:pt>
                <c:pt idx="205">
                  <c:v>1.0783261398092731E-2</c:v>
                </c:pt>
                <c:pt idx="206">
                  <c:v>2.771371901402344E-2</c:v>
                </c:pt>
                <c:pt idx="207">
                  <c:v>4.3400266346119765E-2</c:v>
                </c:pt>
                <c:pt idx="208">
                  <c:v>5.7381346707978197E-2</c:v>
                </c:pt>
                <c:pt idx="209">
                  <c:v>6.9258952852442074E-2</c:v>
                </c:pt>
                <c:pt idx="210">
                  <c:v>7.8709621290273771E-2</c:v>
                </c:pt>
                <c:pt idx="211">
                  <c:v>8.5492854570841492E-2</c:v>
                </c:pt>
                <c:pt idx="212">
                  <c:v>8.9456766363314247E-2</c:v>
                </c:pt>
                <c:pt idx="213">
                  <c:v>9.054083542110021E-2</c:v>
                </c:pt>
                <c:pt idx="214">
                  <c:v>8.8775747266853444E-2</c:v>
                </c:pt>
                <c:pt idx="215">
                  <c:v>8.4280393772535975E-2</c:v>
                </c:pt>
                <c:pt idx="216">
                  <c:v>7.7256187910788088E-2</c:v>
                </c:pt>
                <c:pt idx="217">
                  <c:v>6.7978931197526765E-2</c:v>
                </c:pt>
                <c:pt idx="218">
                  <c:v>5.6788542381279672E-2</c:v>
                </c:pt>
                <c:pt idx="219">
                  <c:v>4.4077015752220589E-2</c:v>
                </c:pt>
                <c:pt idx="220">
                  <c:v>3.0275024428183143E-2</c:v>
                </c:pt>
                <c:pt idx="221">
                  <c:v>1.5837616947644823E-2</c:v>
                </c:pt>
                <c:pt idx="222">
                  <c:v>1.2294737459040417E-3</c:v>
                </c:pt>
                <c:pt idx="223">
                  <c:v>-1.3089806628989951E-2</c:v>
                </c:pt>
                <c:pt idx="224">
                  <c:v>-2.6679933156661832E-2</c:v>
                </c:pt>
                <c:pt idx="225">
                  <c:v>-3.9133226935626014E-2</c:v>
                </c:pt>
                <c:pt idx="226">
                  <c:v>-5.0086610253549865E-2</c:v>
                </c:pt>
                <c:pt idx="227">
                  <c:v>-5.9231935545241469E-2</c:v>
                </c:pt>
                <c:pt idx="228">
                  <c:v>-6.6324369161387647E-2</c:v>
                </c:pt>
                <c:pt idx="229">
                  <c:v>-7.1188611946696859E-2</c:v>
                </c:pt>
                <c:pt idx="230">
                  <c:v>-7.3722811000878199E-2</c:v>
                </c:pt>
                <c:pt idx="231">
                  <c:v>-7.3900092293018471E-2</c:v>
                </c:pt>
                <c:pt idx="232">
                  <c:v>-7.1767719604672625E-2</c:v>
                </c:pt>
                <c:pt idx="233">
                  <c:v>-6.7443959212879948E-2</c:v>
                </c:pt>
                <c:pt idx="234">
                  <c:v>-6.1112799526421568E-2</c:v>
                </c:pt>
                <c:pt idx="235">
                  <c:v>-5.3016738471715508E-2</c:v>
                </c:pt>
                <c:pt idx="236">
                  <c:v>-4.3447906944317341E-2</c:v>
                </c:pt>
                <c:pt idx="237">
                  <c:v>-3.2737842546470192E-2</c:v>
                </c:pt>
                <c:pt idx="238">
                  <c:v>-2.1246262903684945E-2</c:v>
                </c:pt>
                <c:pt idx="239">
                  <c:v>-9.3492112423031164E-3</c:v>
                </c:pt>
                <c:pt idx="240">
                  <c:v>2.5730418526236157E-3</c:v>
                </c:pt>
                <c:pt idx="241">
                  <c:v>1.4147957572422131E-2</c:v>
                </c:pt>
                <c:pt idx="242">
                  <c:v>2.5022178903837591E-2</c:v>
                </c:pt>
                <c:pt idx="243">
                  <c:v>3.4872125695629613E-2</c:v>
                </c:pt>
                <c:pt idx="244">
                  <c:v>4.3413423357581846E-2</c:v>
                </c:pt>
                <c:pt idx="245">
                  <c:v>5.0408897143149799E-2</c:v>
                </c:pt>
                <c:pt idx="246">
                  <c:v>5.5674914725054751E-2</c:v>
                </c:pt>
                <c:pt idx="247">
                  <c:v>5.9085916173703325E-2</c:v>
                </c:pt>
                <c:pt idx="248">
                  <c:v>6.0577030605282627E-2</c:v>
                </c:pt>
                <c:pt idx="249">
                  <c:v>6.0144740718709733E-2</c:v>
                </c:pt>
                <c:pt idx="250">
                  <c:v>5.7845618215172333E-2</c:v>
                </c:pt>
                <c:pt idx="251">
                  <c:v>5.3793212767400789E-2</c:v>
                </c:pt>
                <c:pt idx="252">
                  <c:v>4.8153232963316424E-2</c:v>
                </c:pt>
                <c:pt idx="253">
                  <c:v>4.1137207838388076E-2</c:v>
                </c:pt>
                <c:pt idx="254">
                  <c:v>3.2994860791700414E-2</c:v>
                </c:pt>
                <c:pt idx="255">
                  <c:v>2.4005462662157508E-2</c:v>
                </c:pt>
                <c:pt idx="256">
                  <c:v>1.4468456615657046E-2</c:v>
                </c:pt>
                <c:pt idx="257">
                  <c:v>4.6936636581896944E-3</c:v>
                </c:pt>
                <c:pt idx="258">
                  <c:v>-5.0086162431659063E-3</c:v>
                </c:pt>
                <c:pt idx="259">
                  <c:v>-1.4337296247944366E-2</c:v>
                </c:pt>
                <c:pt idx="260">
                  <c:v>-2.3009690177679926E-2</c:v>
                </c:pt>
                <c:pt idx="261">
                  <c:v>-3.0769920149845795E-2</c:v>
                </c:pt>
                <c:pt idx="262">
                  <c:v>-3.7396299461959957E-2</c:v>
                </c:pt>
                <c:pt idx="263">
                  <c:v>-4.2707483334269616E-2</c:v>
                </c:pt>
                <c:pt idx="264">
                  <c:v>-4.6567223207810322E-2</c:v>
                </c:pt>
                <c:pt idx="265">
                  <c:v>-4.8887607544100035E-2</c:v>
                </c:pt>
                <c:pt idx="266">
                  <c:v>-4.9630721915880936E-2</c:v>
                </c:pt>
                <c:pt idx="267">
                  <c:v>-4.8808712001958465E-2</c:v>
                </c:pt>
                <c:pt idx="268">
                  <c:v>-4.6482283295646749E-2</c:v>
                </c:pt>
                <c:pt idx="269">
                  <c:v>-4.2757719353532238E-2</c:v>
                </c:pt>
                <c:pt idx="270">
                  <c:v>-3.7782544799890884E-2</c:v>
                </c:pt>
                <c:pt idx="271">
                  <c:v>-3.1739998758494502E-2</c:v>
                </c:pt>
                <c:pt idx="272">
                  <c:v>-2.4842517787160373E-2</c:v>
                </c:pt>
                <c:pt idx="273">
                  <c:v>-1.7324453834624724E-2</c:v>
                </c:pt>
                <c:pt idx="274">
                  <c:v>-9.4342715549855811E-3</c:v>
                </c:pt>
                <c:pt idx="275">
                  <c:v>-1.426480085894806E-3</c:v>
                </c:pt>
                <c:pt idx="276">
                  <c:v>6.4464430329682545E-3</c:v>
                </c:pt>
                <c:pt idx="277">
                  <c:v>1.3941883651340173E-2</c:v>
                </c:pt>
                <c:pt idx="278">
                  <c:v>2.0834439629938747E-2</c:v>
                </c:pt>
                <c:pt idx="279">
                  <c:v>2.6922567838162624E-2</c:v>
                </c:pt>
                <c:pt idx="280">
                  <c:v>3.2034337857971613E-2</c:v>
                </c:pt>
                <c:pt idx="281">
                  <c:v>3.6032132888168165E-2</c:v>
                </c:pt>
                <c:pt idx="282">
                  <c:v>3.8816174763577467E-2</c:v>
                </c:pt>
                <c:pt idx="283">
                  <c:v>4.0326789448353988E-2</c:v>
                </c:pt>
                <c:pt idx="284">
                  <c:v>4.0545370533402868E-2</c:v>
                </c:pt>
                <c:pt idx="285">
                  <c:v>3.9494039841504486E-2</c:v>
                </c:pt>
                <c:pt idx="286">
                  <c:v>3.7234044914049684E-2</c:v>
                </c:pt>
                <c:pt idx="287">
                  <c:v>3.3862971671651518E-2</c:v>
                </c:pt>
                <c:pt idx="288">
                  <c:v>2.9510885753727546E-2</c:v>
                </c:pt>
                <c:pt idx="289">
                  <c:v>2.4335546924848774E-2</c:v>
                </c:pt>
                <c:pt idx="290">
                  <c:v>1.8516866621681602E-2</c:v>
                </c:pt>
                <c:pt idx="291">
                  <c:v>1.2250798518708909E-2</c:v>
                </c:pt>
                <c:pt idx="292">
                  <c:v>5.742865427459087E-3</c:v>
                </c:pt>
                <c:pt idx="293">
                  <c:v>-7.9846736388346305E-4</c:v>
                </c:pt>
                <c:pt idx="294">
                  <c:v>-7.1683621189467762E-3</c:v>
                </c:pt>
                <c:pt idx="295">
                  <c:v>-1.3171918333385532E-2</c:v>
                </c:pt>
                <c:pt idx="296">
                  <c:v>-1.863003103661923E-2</c:v>
                </c:pt>
                <c:pt idx="297">
                  <c:v>-2.3384625046957971E-2</c:v>
                </c:pt>
                <c:pt idx="298">
                  <c:v>-2.7303115850000038E-2</c:v>
                </c:pt>
                <c:pt idx="299">
                  <c:v>-3.0281975244533962E-2</c:v>
                </c:pt>
                <c:pt idx="300">
                  <c:v>-3.2249310561000867E-2</c:v>
                </c:pt>
                <c:pt idx="301">
                  <c:v>-3.3166399076875686E-2</c:v>
                </c:pt>
                <c:pt idx="302">
                  <c:v>-3.3028153158796383E-2</c:v>
                </c:pt>
                <c:pt idx="303">
                  <c:v>-3.1862525570727614E-2</c:v>
                </c:pt>
                <c:pt idx="304">
                  <c:v>-2.9728897242824882E-2</c:v>
                </c:pt>
                <c:pt idx="305">
                  <c:v>-2.6715520595491038E-2</c:v>
                </c:pt>
                <c:pt idx="306">
                  <c:v>-2.2936119342478148E-2</c:v>
                </c:pt>
                <c:pt idx="307">
                  <c:v>-1.852576975404743E-2</c:v>
                </c:pt>
                <c:pt idx="308">
                  <c:v>-1.3636207980071278E-2</c:v>
                </c:pt>
                <c:pt idx="309">
                  <c:v>-8.4307227008539702E-3</c:v>
                </c:pt>
                <c:pt idx="310">
                  <c:v>-3.0788017436244857E-3</c:v>
                </c:pt>
                <c:pt idx="311">
                  <c:v>2.2492947985641425E-3</c:v>
                </c:pt>
                <c:pt idx="312">
                  <c:v>7.3878639804925445E-3</c:v>
                </c:pt>
                <c:pt idx="313">
                  <c:v>1.2180827856554383E-2</c:v>
                </c:pt>
                <c:pt idx="314">
                  <c:v>1.6486387512667941E-2</c:v>
                </c:pt>
                <c:pt idx="315">
                  <c:v>2.0181127342089315E-2</c:v>
                </c:pt>
                <c:pt idx="316">
                  <c:v>2.3163453826258465E-2</c:v>
                </c:pt>
                <c:pt idx="317">
                  <c:v>2.5356276437802961E-2</c:v>
                </c:pt>
                <c:pt idx="318">
                  <c:v>2.6708863997989406E-2</c:v>
                </c:pt>
                <c:pt idx="319">
                  <c:v>2.7197837040090406E-2</c:v>
                </c:pt>
                <c:pt idx="320">
                  <c:v>2.6827284570397524E-2</c:v>
                </c:pt>
                <c:pt idx="321">
                  <c:v>2.5628021197429358E-2</c:v>
                </c:pt>
                <c:pt idx="322">
                  <c:v>2.3656027062655884E-2</c:v>
                </c:pt>
                <c:pt idx="323">
                  <c:v>2.0990137552146473E-2</c:v>
                </c:pt>
                <c:pt idx="324">
                  <c:v>1.7729071675045501E-2</c:v>
                </c:pt>
                <c:pt idx="325">
                  <c:v>1.3987906637330173E-2</c:v>
                </c:pt>
                <c:pt idx="326">
                  <c:v>9.8941210093749649E-3</c:v>
                </c:pt>
                <c:pt idx="327">
                  <c:v>5.5833396039934556E-3</c:v>
                </c:pt>
                <c:pt idx="328">
                  <c:v>1.1949195064478967E-3</c:v>
                </c:pt>
                <c:pt idx="329">
                  <c:v>-3.1324814695138162E-3</c:v>
                </c:pt>
                <c:pt idx="330">
                  <c:v>-7.2652152417651559E-3</c:v>
                </c:pt>
                <c:pt idx="331">
                  <c:v>-1.1078701061974993E-2</c:v>
                </c:pt>
                <c:pt idx="332">
                  <c:v>-1.446110932667851E-2</c:v>
                </c:pt>
                <c:pt idx="333">
                  <c:v>-1.7316565035260301E-2</c:v>
                </c:pt>
                <c:pt idx="334">
                  <c:v>-1.9567781706869736E-2</c:v>
                </c:pt>
                <c:pt idx="335">
                  <c:v>-2.1158056335780783E-2</c:v>
                </c:pt>
                <c:pt idx="336">
                  <c:v>-2.2052577455327863E-2</c:v>
                </c:pt>
                <c:pt idx="337">
                  <c:v>-2.223902088519086E-2</c:v>
                </c:pt>
                <c:pt idx="338">
                  <c:v>-2.1727430530606971E-2</c:v>
                </c:pt>
                <c:pt idx="339">
                  <c:v>-2.0549403967410822E-2</c:v>
                </c:pt>
                <c:pt idx="340">
                  <c:v>-1.8756623795447049E-2</c:v>
                </c:pt>
                <c:pt idx="341">
                  <c:v>-1.6418795236917319E-2</c:v>
                </c:pt>
                <c:pt idx="342">
                  <c:v>-1.3621067626706833E-2</c:v>
                </c:pt>
                <c:pt idx="343">
                  <c:v>-1.046103180501181E-2</c:v>
                </c:pt>
                <c:pt idx="344">
                  <c:v>-7.0453965934063863E-3</c:v>
                </c:pt>
                <c:pt idx="345">
                  <c:v>-3.4864552368266449E-3</c:v>
                </c:pt>
                <c:pt idx="346">
                  <c:v>1.0154323675470129E-4</c:v>
                </c:pt>
                <c:pt idx="347">
                  <c:v>3.6060023955410787E-3</c:v>
                </c:pt>
                <c:pt idx="348">
                  <c:v>6.9194543944297599E-3</c:v>
                </c:pt>
                <c:pt idx="349">
                  <c:v>9.9427980914371262E-3</c:v>
                </c:pt>
                <c:pt idx="350">
                  <c:v>1.2588203589178688E-2</c:v>
                </c:pt>
                <c:pt idx="351">
                  <c:v>1.4781600051788465E-2</c:v>
                </c:pt>
                <c:pt idx="352">
                  <c:v>1.6464678512019982E-2</c:v>
                </c:pt>
                <c:pt idx="353">
                  <c:v>1.7596358045167289E-2</c:v>
                </c:pt>
                <c:pt idx="354">
                  <c:v>1.8153681585762877E-2</c:v>
                </c:pt>
                <c:pt idx="355">
                  <c:v>1.8132126213573324E-2</c:v>
                </c:pt>
                <c:pt idx="356">
                  <c:v>1.7545331343857329E-2</c:v>
                </c:pt>
                <c:pt idx="357">
                  <c:v>1.6424266341294624E-2</c:v>
                </c:pt>
                <c:pt idx="358">
                  <c:v>1.4815876084940931E-2</c:v>
                </c:pt>
                <c:pt idx="359">
                  <c:v>1.2781258436479403E-2</c:v>
                </c:pt>
                <c:pt idx="360">
                  <c:v>1.0393440960125256E-2</c:v>
                </c:pt>
                <c:pt idx="361">
                  <c:v>7.734835237285533E-3</c:v>
                </c:pt>
                <c:pt idx="362">
                  <c:v>4.8944554232341116E-3</c:v>
                </c:pt>
                <c:pt idx="363">
                  <c:v>1.9649931078125379E-3</c:v>
                </c:pt>
                <c:pt idx="364">
                  <c:v>-9.6015703670734387E-4</c:v>
                </c:pt>
                <c:pt idx="365">
                  <c:v>-3.7898269184447114E-3</c:v>
                </c:pt>
                <c:pt idx="366">
                  <c:v>-6.4378695949756874E-3</c:v>
                </c:pt>
                <c:pt idx="367">
                  <c:v>-8.8257345841891276E-3</c:v>
                </c:pt>
                <c:pt idx="368">
                  <c:v>-1.0884748478617486E-2</c:v>
                </c:pt>
                <c:pt idx="369">
                  <c:v>-1.2558036309277784E-2</c:v>
                </c:pt>
                <c:pt idx="370">
                  <c:v>-1.3802031759681824E-2</c:v>
                </c:pt>
                <c:pt idx="371">
                  <c:v>-1.458753832109474E-2</c:v>
                </c:pt>
                <c:pt idx="372">
                  <c:v>-1.4900318339913851E-2</c:v>
                </c:pt>
                <c:pt idx="373">
                  <c:v>-1.4741202154106103E-2</c:v>
                </c:pt>
                <c:pt idx="374">
                  <c:v>-1.4125724663652337E-2</c:v>
                </c:pt>
                <c:pt idx="375">
                  <c:v>-1.3083311259478782E-2</c:v>
                </c:pt>
                <c:pt idx="376">
                  <c:v>-1.1656048604262979E-2</c:v>
                </c:pt>
                <c:pt idx="377">
                  <c:v>-9.8970879160710026E-3</c:v>
                </c:pt>
                <c:pt idx="378">
                  <c:v>-7.8687388043131128E-3</c:v>
                </c:pt>
                <c:pt idx="379">
                  <c:v>-5.6403200619640301E-3</c:v>
                </c:pt>
                <c:pt idx="380">
                  <c:v>-3.2858399135102887E-3</c:v>
                </c:pt>
                <c:pt idx="381">
                  <c:v>-8.8158191508039014E-4</c:v>
                </c:pt>
                <c:pt idx="382">
                  <c:v>1.4963260599351867E-3</c:v>
                </c:pt>
                <c:pt idx="383">
                  <c:v>3.7742835232404369E-3</c:v>
                </c:pt>
                <c:pt idx="384">
                  <c:v>5.8834570934425479E-3</c:v>
                </c:pt>
                <c:pt idx="385">
                  <c:v>7.7618213143567242E-3</c:v>
                </c:pt>
                <c:pt idx="386">
                  <c:v>9.3559413517144939E-3</c:v>
                </c:pt>
                <c:pt idx="387">
                  <c:v>1.0622447730061957E-2</c:v>
                </c:pt>
                <c:pt idx="388">
                  <c:v>1.1529163996356503E-2</c:v>
                </c:pt>
                <c:pt idx="389">
                  <c:v>1.2055859901599728E-2</c:v>
                </c:pt>
                <c:pt idx="390">
                  <c:v>1.2194614989635593E-2</c:v>
                </c:pt>
                <c:pt idx="391">
                  <c:v>1.1949789976022826E-2</c:v>
                </c:pt>
                <c:pt idx="392">
                  <c:v>1.1337615595463072E-2</c:v>
                </c:pt>
                <c:pt idx="393">
                  <c:v>1.0385420314449409E-2</c:v>
                </c:pt>
                <c:pt idx="394">
                  <c:v>9.1305290939196291E-3</c:v>
                </c:pt>
                <c:pt idx="395">
                  <c:v>7.6188749289994254E-3</c:v>
                </c:pt>
                <c:pt idx="396">
                  <c:v>5.9033729195886522E-3</c:v>
                </c:pt>
                <c:pt idx="397">
                  <c:v>4.0421129200975143E-3</c:v>
                </c:pt>
                <c:pt idx="398">
                  <c:v>2.0964312214879349E-3</c:v>
                </c:pt>
                <c:pt idx="399">
                  <c:v>1.2892413881678694E-4</c:v>
                </c:pt>
                <c:pt idx="400">
                  <c:v>-1.7985332183336111E-3</c:v>
                </c:pt>
                <c:pt idx="401">
                  <c:v>-3.6267012942718313E-3</c:v>
                </c:pt>
                <c:pt idx="402">
                  <c:v>-5.3007653249277538E-3</c:v>
                </c:pt>
                <c:pt idx="403">
                  <c:v>-6.7719464431592376E-3</c:v>
                </c:pt>
                <c:pt idx="404">
                  <c:v>-7.9988883753157689E-3</c:v>
                </c:pt>
                <c:pt idx="405">
                  <c:v>-8.9487814908821416E-3</c:v>
                </c:pt>
                <c:pt idx="406">
                  <c:v>-9.5981950181443041E-3</c:v>
                </c:pt>
                <c:pt idx="407">
                  <c:v>-9.9335979978296927E-3</c:v>
                </c:pt>
                <c:pt idx="408">
                  <c:v>-9.9515596932378426E-3</c:v>
                </c:pt>
                <c:pt idx="409">
                  <c:v>-9.6586303842398288E-3</c:v>
                </c:pt>
                <c:pt idx="410">
                  <c:v>-9.0709134237750878E-3</c:v>
                </c:pt>
                <c:pt idx="411">
                  <c:v>-8.2133488244029735E-3</c:v>
                </c:pt>
                <c:pt idx="412">
                  <c:v>-7.1187371887354222E-3</c:v>
                </c:pt>
                <c:pt idx="413">
                  <c:v>-5.8265402534182793E-3</c:v>
                </c:pt>
                <c:pt idx="414">
                  <c:v>-4.3815004735455899E-3</c:v>
                </c:pt>
                <c:pt idx="415">
                  <c:v>-2.8321267699674265E-3</c:v>
                </c:pt>
                <c:pt idx="416">
                  <c:v>-1.2290966821264303E-3</c:v>
                </c:pt>
                <c:pt idx="417">
                  <c:v>3.763733482292724E-4</c:v>
                </c:pt>
                <c:pt idx="418">
                  <c:v>1.9341380014402541E-3</c:v>
                </c:pt>
                <c:pt idx="419">
                  <c:v>3.396663620774374E-3</c:v>
                </c:pt>
                <c:pt idx="420">
                  <c:v>4.7204527612672489E-3</c:v>
                </c:pt>
                <c:pt idx="421">
                  <c:v>5.8673108988615448E-3</c:v>
                </c:pt>
                <c:pt idx="422">
                  <c:v>6.8054193141292487E-3</c:v>
                </c:pt>
                <c:pt idx="423">
                  <c:v>7.510185018294124E-3</c:v>
                </c:pt>
                <c:pt idx="424">
                  <c:v>7.9648461981149284E-3</c:v>
                </c:pt>
                <c:pt idx="425">
                  <c:v>8.1608197661265612E-3</c:v>
                </c:pt>
                <c:pt idx="426">
                  <c:v>8.0977859495115854E-3</c:v>
                </c:pt>
                <c:pt idx="427">
                  <c:v>7.7835131687640233E-3</c:v>
                </c:pt>
                <c:pt idx="428">
                  <c:v>7.2334344874397695E-3</c:v>
                </c:pt>
                <c:pt idx="429">
                  <c:v>6.4699944125690577E-3</c:v>
                </c:pt>
                <c:pt idx="430">
                  <c:v>5.5217915697032948E-3</c:v>
                </c:pt>
                <c:pt idx="431">
                  <c:v>4.4225485735429823E-3</c:v>
                </c:pt>
                <c:pt idx="432">
                  <c:v>3.2099451050021204E-3</c:v>
                </c:pt>
                <c:pt idx="433">
                  <c:v>1.9243536668805074E-3</c:v>
                </c:pt>
                <c:pt idx="434">
                  <c:v>6.0751964256614672E-4</c:v>
                </c:pt>
                <c:pt idx="435">
                  <c:v>-6.9877191245163611E-4</c:v>
                </c:pt>
                <c:pt idx="436">
                  <c:v>-1.9540008529685296E-3</c:v>
                </c:pt>
                <c:pt idx="437">
                  <c:v>-3.1201478386052263E-3</c:v>
                </c:pt>
                <c:pt idx="438">
                  <c:v>-4.1628245191991783E-3</c:v>
                </c:pt>
                <c:pt idx="439">
                  <c:v>-5.0522651171488117E-3</c:v>
                </c:pt>
                <c:pt idx="440">
                  <c:v>-5.7641515740493301E-3</c:v>
                </c:pt>
                <c:pt idx="441">
                  <c:v>-6.2802502452049373E-3</c:v>
                </c:pt>
                <c:pt idx="442">
                  <c:v>-6.5888444984762654E-3</c:v>
                </c:pt>
                <c:pt idx="443">
                  <c:v>-6.6849542921218561E-3</c:v>
                </c:pt>
                <c:pt idx="444">
                  <c:v>-6.570340652475584E-3</c:v>
                </c:pt>
                <c:pt idx="445">
                  <c:v>-6.2532997300001501E-3</c:v>
                </c:pt>
                <c:pt idx="446">
                  <c:v>-5.7482575726121614E-3</c:v>
                </c:pt>
                <c:pt idx="447">
                  <c:v>-5.0751827232841636E-3</c:v>
                </c:pt>
                <c:pt idx="448">
                  <c:v>-4.2588390496146478E-3</c:v>
                </c:pt>
                <c:pt idx="449">
                  <c:v>-3.327905695887352E-3</c:v>
                </c:pt>
                <c:pt idx="450">
                  <c:v>-2.313994591571862E-3</c:v>
                </c:pt>
                <c:pt idx="451">
                  <c:v>-1.250598464735997E-3</c:v>
                </c:pt>
                <c:pt idx="452">
                  <c:v>-1.7200373904149228E-4</c:v>
                </c:pt>
                <c:pt idx="453">
                  <c:v>8.8779698145555002E-4</c:v>
                </c:pt>
                <c:pt idx="454">
                  <c:v>1.8961588999920453E-3</c:v>
                </c:pt>
                <c:pt idx="455">
                  <c:v>2.8227733538735713E-3</c:v>
                </c:pt>
                <c:pt idx="456">
                  <c:v>3.6405611153472956E-3</c:v>
                </c:pt>
                <c:pt idx="457">
                  <c:v>4.3264449241651728E-3</c:v>
                </c:pt>
                <c:pt idx="458">
                  <c:v>4.8619798540315761E-3</c:v>
                </c:pt>
                <c:pt idx="459">
                  <c:v>5.2338250300231872E-3</c:v>
                </c:pt>
                <c:pt idx="460">
                  <c:v>5.4340455331358629E-3</c:v>
                </c:pt>
                <c:pt idx="461">
                  <c:v>5.4602388763449758E-3</c:v>
                </c:pt>
                <c:pt idx="462">
                  <c:v>5.3154860357242407E-3</c:v>
                </c:pt>
                <c:pt idx="463">
                  <c:v>5.0081324944188143E-3</c:v>
                </c:pt>
                <c:pt idx="464">
                  <c:v>4.5514099386127624E-3</c:v>
                </c:pt>
                <c:pt idx="465">
                  <c:v>3.9629139779720473E-3</c:v>
                </c:pt>
                <c:pt idx="466">
                  <c:v>3.2639574107369567E-3</c:v>
                </c:pt>
                <c:pt idx="467">
                  <c:v>2.478821999392939E-3</c:v>
                </c:pt>
                <c:pt idx="468">
                  <c:v>1.6339343748819678E-3</c:v>
                </c:pt>
                <c:pt idx="469">
                  <c:v>7.5699348066372494E-4</c:v>
                </c:pt>
                <c:pt idx="470">
                  <c:v>-1.2392213412073746E-4</c:v>
                </c:pt>
                <c:pt idx="471">
                  <c:v>-9.8123886854946081E-4</c:v>
                </c:pt>
                <c:pt idx="472">
                  <c:v>-1.7887370554282378E-3</c:v>
                </c:pt>
                <c:pt idx="473">
                  <c:v>-2.5223386867915692E-3</c:v>
                </c:pt>
                <c:pt idx="474">
                  <c:v>-3.1608106745844647E-3</c:v>
                </c:pt>
                <c:pt idx="475">
                  <c:v>-3.6863635968037642E-3</c:v>
                </c:pt>
                <c:pt idx="476">
                  <c:v>-4.0851295893450743E-3</c:v>
                </c:pt>
                <c:pt idx="477">
                  <c:v>-4.3475071804658927E-3</c:v>
                </c:pt>
                <c:pt idx="478">
                  <c:v>-4.4683652895150684E-3</c:v>
                </c:pt>
                <c:pt idx="479">
                  <c:v>-4.4471031798886725E-3</c:v>
                </c:pt>
                <c:pt idx="480">
                  <c:v>-4.2875677223053812E-3</c:v>
                </c:pt>
                <c:pt idx="481">
                  <c:v>-3.9978337460360282E-3</c:v>
                </c:pt>
                <c:pt idx="482">
                  <c:v>-3.5898573979587845E-3</c:v>
                </c:pt>
                <c:pt idx="483">
                  <c:v>-3.0790161692621572E-3</c:v>
                </c:pt>
                <c:pt idx="484">
                  <c:v>-2.4835524796073547E-3</c:v>
                </c:pt>
                <c:pt idx="485">
                  <c:v>-1.8239403392370705E-3</c:v>
                </c:pt>
                <c:pt idx="486">
                  <c:v>-1.1221965722268842E-3</c:v>
                </c:pt>
                <c:pt idx="487">
                  <c:v>-4.0115933254424713E-4</c:v>
                </c:pt>
                <c:pt idx="488">
                  <c:v>3.1624284414487932E-4</c:v>
                </c:pt>
                <c:pt idx="489">
                  <c:v>1.0077084353388491E-3</c:v>
                </c:pt>
                <c:pt idx="490">
                  <c:v>1.6522446941075019E-3</c:v>
                </c:pt>
                <c:pt idx="491">
                  <c:v>2.230793306223583E-3</c:v>
                </c:pt>
                <c:pt idx="492">
                  <c:v>2.7267816782740881E-3</c:v>
                </c:pt>
                <c:pt idx="493">
                  <c:v>3.1265843224285101E-3</c:v>
                </c:pt>
                <c:pt idx="494">
                  <c:v>3.4198819564941036E-3</c:v>
                </c:pt>
                <c:pt idx="495">
                  <c:v>3.5999094065140118E-3</c:v>
                </c:pt>
                <c:pt idx="496">
                  <c:v>3.6635870681702371E-3</c:v>
                </c:pt>
                <c:pt idx="497">
                  <c:v>3.6115344336784512E-3</c:v>
                </c:pt>
                <c:pt idx="498">
                  <c:v>3.4479679038685136E-3</c:v>
                </c:pt>
                <c:pt idx="499">
                  <c:v>3.1804886657256213E-3</c:v>
                </c:pt>
                <c:pt idx="500">
                  <c:v>2.8197697161464904E-3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4B-4B2E-9B77-2D57B059B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062176"/>
        <c:axId val="1912064672"/>
      </c:scatterChart>
      <c:valAx>
        <c:axId val="191206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064672"/>
        <c:crosses val="autoZero"/>
        <c:crossBetween val="midCat"/>
      </c:valAx>
      <c:valAx>
        <c:axId val="191206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206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FreeRun</a:t>
            </a:r>
          </a:p>
        </c:rich>
      </c:tx>
      <c:layout>
        <c:manualLayout>
          <c:xMode val="edge"/>
          <c:yMode val="edge"/>
          <c:x val="0.40643044619422575"/>
          <c:y val="3.5555555555555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Macro!$F$9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Macro!$E$10:$E$510</c:f>
              <c:numCache>
                <c:formatCode>0.000</c:formatCode>
                <c:ptCount val="5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</c:numCache>
            </c:numRef>
          </c:xVal>
          <c:yVal>
            <c:numRef>
              <c:f>Macro!$F$10:$F$510</c:f>
              <c:numCache>
                <c:formatCode>0.000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-2.34</c:v>
                </c:pt>
                <c:pt idx="3">
                  <c:v>-6.8943504866528302</c:v>
                </c:pt>
                <c:pt idx="4">
                  <c:v>-13.471122334414709</c:v>
                </c:pt>
                <c:pt idx="5">
                  <c:v>-21.819695294367694</c:v>
                </c:pt>
                <c:pt idx="6">
                  <c:v>-31.639706475270614</c:v>
                </c:pt>
                <c:pt idx="7">
                  <c:v>-42.591839411312399</c:v>
                </c:pt>
                <c:pt idx="8">
                  <c:v>-54.309076641470483</c:v>
                </c:pt>
                <c:pt idx="9">
                  <c:v>-66.408497009824373</c:v>
                </c:pt>
                <c:pt idx="10">
                  <c:v>-78.50417741889548</c:v>
                </c:pt>
                <c:pt idx="11">
                  <c:v>-90.219075661725029</c:v>
                </c:pt>
                <c:pt idx="12">
                  <c:v>-101.19645217467567</c:v>
                </c:pt>
                <c:pt idx="13">
                  <c:v>-88.023600359134903</c:v>
                </c:pt>
                <c:pt idx="14">
                  <c:v>-74.73938991759178</c:v>
                </c:pt>
                <c:pt idx="15">
                  <c:v>-61.760579272732365</c:v>
                </c:pt>
                <c:pt idx="16">
                  <c:v>-49.48542153242154</c:v>
                </c:pt>
                <c:pt idx="17">
                  <c:v>-38.281265913304679</c:v>
                </c:pt>
                <c:pt idx="18">
                  <c:v>-28.473785549911888</c:v>
                </c:pt>
                <c:pt idx="19">
                  <c:v>-20.337418528508714</c:v>
                </c:pt>
                <c:pt idx="20">
                  <c:v>-14.088529193990073</c:v>
                </c:pt>
                <c:pt idx="21">
                  <c:v>-9.8798528672434909</c:v>
                </c:pt>
                <c:pt idx="22">
                  <c:v>-7.7969838388427126</c:v>
                </c:pt>
                <c:pt idx="23">
                  <c:v>-7.8572029548058246</c:v>
                </c:pt>
                <c:pt idx="24">
                  <c:v>-10.010879003510873</c:v>
                </c:pt>
                <c:pt idx="25">
                  <c:v>-14.143695232700493</c:v>
                </c:pt>
                <c:pt idx="26">
                  <c:v>-20.08208157802364</c:v>
                </c:pt>
                <c:pt idx="27">
                  <c:v>-27.60012793551293</c:v>
                </c:pt>
                <c:pt idx="28">
                  <c:v>-36.428182443963451</c:v>
                </c:pt>
                <c:pt idx="29">
                  <c:v>-46.261220280450218</c:v>
                </c:pt>
                <c:pt idx="30">
                  <c:v>-56.770058332350473</c:v>
                </c:pt>
                <c:pt idx="31">
                  <c:v>-67.611478976048915</c:v>
                </c:pt>
                <c:pt idx="32">
                  <c:v>-78.439999012857314</c:v>
                </c:pt>
                <c:pt idx="33">
                  <c:v>-88.91797912063106</c:v>
                </c:pt>
                <c:pt idx="34">
                  <c:v>-98.726374714083448</c:v>
                </c:pt>
                <c:pt idx="35">
                  <c:v>-107.57390210836482</c:v>
                </c:pt>
                <c:pt idx="36">
                  <c:v>-96.956869235227174</c:v>
                </c:pt>
                <c:pt idx="37">
                  <c:v>-85.891578689945362</c:v>
                </c:pt>
                <c:pt idx="38">
                  <c:v>-74.733176759025795</c:v>
                </c:pt>
                <c:pt idx="39">
                  <c:v>-63.8316162140976</c:v>
                </c:pt>
                <c:pt idx="40">
                  <c:v>-53.521420729240099</c:v>
                </c:pt>
                <c:pt idx="41">
                  <c:v>-44.111087247518313</c:v>
                </c:pt>
                <c:pt idx="42">
                  <c:v>-35.874049324367235</c:v>
                </c:pt>
                <c:pt idx="43">
                  <c:v>-29.041134275284481</c:v>
                </c:pt>
                <c:pt idx="44">
                  <c:v>-23.793935267921608</c:v>
                </c:pt>
                <c:pt idx="45">
                  <c:v>-20.260631329008501</c:v>
                </c:pt>
                <c:pt idx="46">
                  <c:v>-18.512868363697709</c:v>
                </c:pt>
                <c:pt idx="47">
                  <c:v>-18.565258890937073</c:v>
                </c:pt>
                <c:pt idx="48">
                  <c:v>-20.375889980990831</c:v>
                </c:pt>
                <c:pt idx="49">
                  <c:v>-23.848591044596255</c:v>
                </c:pt>
                <c:pt idx="50">
                  <c:v>-28.83795288756059</c:v>
                </c:pt>
                <c:pt idx="51">
                  <c:v>-35.154181298452599</c:v>
                </c:pt>
                <c:pt idx="52">
                  <c:v>-42.570523883961279</c:v>
                </c:pt>
                <c:pt idx="53">
                  <c:v>-50.830637434774196</c:v>
                </c:pt>
                <c:pt idx="54">
                  <c:v>-59.658021314830329</c:v>
                </c:pt>
                <c:pt idx="55">
                  <c:v>-68.764361417146219</c:v>
                </c:pt>
                <c:pt idx="56">
                  <c:v>-77.859542285087684</c:v>
                </c:pt>
                <c:pt idx="57">
                  <c:v>-86.659971703818414</c:v>
                </c:pt>
                <c:pt idx="58">
                  <c:v>-94.897844214938502</c:v>
                </c:pt>
                <c:pt idx="59">
                  <c:v>-102.32880696559386</c:v>
                </c:pt>
                <c:pt idx="60">
                  <c:v>-93.411651664807437</c:v>
                </c:pt>
                <c:pt idx="61">
                  <c:v>-84.118560693253585</c:v>
                </c:pt>
                <c:pt idx="62">
                  <c:v>-74.748023145659261</c:v>
                </c:pt>
                <c:pt idx="63">
                  <c:v>-65.594401115522942</c:v>
                </c:pt>
                <c:pt idx="64">
                  <c:v>-56.938448407111707</c:v>
                </c:pt>
                <c:pt idx="65">
                  <c:v>-49.039146197076157</c:v>
                </c:pt>
                <c:pt idx="66">
                  <c:v>-42.126151130320423</c:v>
                </c:pt>
                <c:pt idx="67">
                  <c:v>-36.393193646603549</c:v>
                </c:pt>
                <c:pt idx="68">
                  <c:v>-31.992845938430463</c:v>
                </c:pt>
                <c:pt idx="69">
                  <c:v>-29.03264978382704</c:v>
                </c:pt>
                <c:pt idx="70">
                  <c:v>-27.572579628044984</c:v>
                </c:pt>
                <c:pt idx="71">
                  <c:v>-27.624714715288668</c:v>
                </c:pt>
                <c:pt idx="72">
                  <c:v>-29.153718885277378</c:v>
                </c:pt>
                <c:pt idx="73">
                  <c:v>-32.078714914876578</c:v>
                </c:pt>
                <c:pt idx="74">
                  <c:v>-36.277075669043754</c:v>
                </c:pt>
                <c:pt idx="75">
                  <c:v>-41.589546504178195</c:v>
                </c:pt>
                <c:pt idx="76">
                  <c:v>-47.825727793654551</c:v>
                </c:pt>
                <c:pt idx="77">
                  <c:v>-54.770292058027906</c:v>
                </c:pt>
                <c:pt idx="78">
                  <c:v>-62.190960580149898</c:v>
                </c:pt>
                <c:pt idx="79">
                  <c:v>-69.845553019353957</c:v>
                </c:pt>
                <c:pt idx="80">
                  <c:v>-77.490307211653118</c:v>
                </c:pt>
                <c:pt idx="81">
                  <c:v>-84.887210837610823</c:v>
                </c:pt>
                <c:pt idx="82">
                  <c:v>-91.811067933294481</c:v>
                </c:pt>
                <c:pt idx="83">
                  <c:v>-98.056161095723709</c:v>
                </c:pt>
                <c:pt idx="84">
                  <c:v>-103.44286536858442</c:v>
                </c:pt>
                <c:pt idx="85">
                  <c:v>-96.978820241151567</c:v>
                </c:pt>
                <c:pt idx="86">
                  <c:v>-89.974924044483927</c:v>
                </c:pt>
                <c:pt idx="87">
                  <c:v>-82.661856359433187</c:v>
                </c:pt>
                <c:pt idx="88">
                  <c:v>-75.274580221556675</c:v>
                </c:pt>
                <c:pt idx="89">
                  <c:v>-68.045168114588591</c:v>
                </c:pt>
                <c:pt idx="90">
                  <c:v>-61.195712050647671</c:v>
                </c:pt>
                <c:pt idx="91">
                  <c:v>-54.931525817647568</c:v>
                </c:pt>
                <c:pt idx="92">
                  <c:v>-49.435148940578166</c:v>
                </c:pt>
                <c:pt idx="93">
                  <c:v>-44.860863803831478</c:v>
                </c:pt>
                <c:pt idx="94">
                  <c:v>-41.330729341520609</c:v>
                </c:pt>
                <c:pt idx="95">
                  <c:v>-38.931189551927091</c:v>
                </c:pt>
                <c:pt idx="96">
                  <c:v>-37.711564148654155</c:v>
                </c:pt>
                <c:pt idx="97">
                  <c:v>-37.683170409767001</c:v>
                </c:pt>
                <c:pt idx="98">
                  <c:v>-38.820451385266509</c:v>
                </c:pt>
                <c:pt idx="99">
                  <c:v>-41.061535021034729</c:v>
                </c:pt>
                <c:pt idx="100">
                  <c:v>-44.312052648282553</c:v>
                </c:pt>
                <c:pt idx="101">
                  <c:v>-48.447903175625576</c:v>
                </c:pt>
                <c:pt idx="102">
                  <c:v>-53.320057326195482</c:v>
                </c:pt>
                <c:pt idx="103">
                  <c:v>-58.759954263482143</c:v>
                </c:pt>
                <c:pt idx="104">
                  <c:v>-64.585429894738269</c:v>
                </c:pt>
                <c:pt idx="105">
                  <c:v>-70.605816210053518</c:v>
                </c:pt>
                <c:pt idx="106">
                  <c:v>-76.628730188654728</c:v>
                </c:pt>
                <c:pt idx="107">
                  <c:v>-82.466147767381443</c:v>
                </c:pt>
                <c:pt idx="108">
                  <c:v>-87.940291961949768</c:v>
                </c:pt>
                <c:pt idx="109">
                  <c:v>-92.88855299013278</c:v>
                </c:pt>
                <c:pt idx="110">
                  <c:v>-97.168025492838353</c:v>
                </c:pt>
                <c:pt idx="111">
                  <c:v>-100.66023736945785</c:v>
                </c:pt>
                <c:pt idx="112">
                  <c:v>-96.469583117514446</c:v>
                </c:pt>
                <c:pt idx="113">
                  <c:v>-91.70304494814728</c:v>
                </c:pt>
                <c:pt idx="114">
                  <c:v>-86.522166130549124</c:v>
                </c:pt>
                <c:pt idx="115">
                  <c:v>-81.097597486819041</c:v>
                </c:pt>
                <c:pt idx="116">
                  <c:v>-75.603845977314379</c:v>
                </c:pt>
                <c:pt idx="117">
                  <c:v>-70.213706772840396</c:v>
                </c:pt>
                <c:pt idx="118">
                  <c:v>-65.093301144588963</c:v>
                </c:pt>
                <c:pt idx="119">
                  <c:v>-60.396615370568973</c:v>
                </c:pt>
                <c:pt idx="120">
                  <c:v>-56.260936064467799</c:v>
                </c:pt>
                <c:pt idx="121">
                  <c:v>-52.803004910393796</c:v>
                </c:pt>
                <c:pt idx="122">
                  <c:v>-50.115707824332191</c:v>
                </c:pt>
                <c:pt idx="123">
                  <c:v>-48.265617650872059</c:v>
                </c:pt>
                <c:pt idx="124">
                  <c:v>-47.291646199540416</c:v>
                </c:pt>
                <c:pt idx="125">
                  <c:v>-47.204597848030723</c:v>
                </c:pt>
                <c:pt idx="126">
                  <c:v>-47.987076069792266</c:v>
                </c:pt>
                <c:pt idx="127">
                  <c:v>-49.595331957539059</c:v>
                </c:pt>
                <c:pt idx="128">
                  <c:v>-51.960823225294</c:v>
                </c:pt>
                <c:pt idx="129">
                  <c:v>-54.992817641468214</c:v>
                </c:pt>
                <c:pt idx="130">
                  <c:v>-58.582023043930619</c:v>
                </c:pt>
                <c:pt idx="131">
                  <c:v>-62.603668255609151</c:v>
                </c:pt>
                <c:pt idx="132">
                  <c:v>-66.922807538874423</c:v>
                </c:pt>
                <c:pt idx="133">
                  <c:v>-71.397932642002388</c:v>
                </c:pt>
                <c:pt idx="134">
                  <c:v>-75.886010163743805</c:v>
                </c:pt>
                <c:pt idx="135">
                  <c:v>-80.246818922398887</c:v>
                </c:pt>
                <c:pt idx="136">
                  <c:v>-84.346969919589654</c:v>
                </c:pt>
                <c:pt idx="137">
                  <c:v>-88.064334607285986</c:v>
                </c:pt>
                <c:pt idx="138">
                  <c:v>-91.291198135054842</c:v>
                </c:pt>
                <c:pt idx="139">
                  <c:v>-93.937727543573999</c:v>
                </c:pt>
                <c:pt idx="140">
                  <c:v>-95.934195371643455</c:v>
                </c:pt>
                <c:pt idx="141">
                  <c:v>-97.233170140480595</c:v>
                </c:pt>
                <c:pt idx="142">
                  <c:v>-97.809810978164691</c:v>
                </c:pt>
                <c:pt idx="143">
                  <c:v>-97.662226114748549</c:v>
                </c:pt>
                <c:pt idx="144">
                  <c:v>-96.811167461056399</c:v>
                </c:pt>
                <c:pt idx="145">
                  <c:v>-95.298833966392706</c:v>
                </c:pt>
                <c:pt idx="146">
                  <c:v>-93.187359158519428</c:v>
                </c:pt>
                <c:pt idx="147">
                  <c:v>-90.55606430705302</c:v>
                </c:pt>
                <c:pt idx="148">
                  <c:v>-87.498932460496206</c:v>
                </c:pt>
                <c:pt idx="149">
                  <c:v>-84.121093730256874</c:v>
                </c:pt>
                <c:pt idx="150">
                  <c:v>-80.535025949312796</c:v>
                </c:pt>
                <c:pt idx="151">
                  <c:v>-76.857492306205188</c:v>
                </c:pt>
                <c:pt idx="152">
                  <c:v>-73.205576907224213</c:v>
                </c:pt>
                <c:pt idx="153">
                  <c:v>-69.692562381447289</c:v>
                </c:pt>
                <c:pt idx="154">
                  <c:v>-66.425251068330695</c:v>
                </c:pt>
                <c:pt idx="155">
                  <c:v>-63.500127118923103</c:v>
                </c:pt>
                <c:pt idx="156">
                  <c:v>-61.000766829029182</c:v>
                </c:pt>
                <c:pt idx="157">
                  <c:v>-58.995824531559229</c:v>
                </c:pt>
                <c:pt idx="158">
                  <c:v>-57.536869092394113</c:v>
                </c:pt>
                <c:pt idx="159">
                  <c:v>-56.657126413727006</c:v>
                </c:pt>
                <c:pt idx="160">
                  <c:v>-56.371177715555881</c:v>
                </c:pt>
                <c:pt idx="161">
                  <c:v>-56.67468800261689</c:v>
                </c:pt>
                <c:pt idx="162">
                  <c:v>-57.544689410129628</c:v>
                </c:pt>
                <c:pt idx="163">
                  <c:v>-58.941296400140473</c:v>
                </c:pt>
                <c:pt idx="164">
                  <c:v>-60.808920192005708</c:v>
                </c:pt>
                <c:pt idx="165">
                  <c:v>-63.078660197264966</c:v>
                </c:pt>
                <c:pt idx="166">
                  <c:v>-65.670704825785023</c:v>
                </c:pt>
                <c:pt idx="167">
                  <c:v>-68.496740750485444</c:v>
                </c:pt>
                <c:pt idx="168">
                  <c:v>-71.463635849449375</c:v>
                </c:pt>
                <c:pt idx="169">
                  <c:v>-74.475812869516631</c:v>
                </c:pt>
                <c:pt idx="170">
                  <c:v>-77.438015196048383</c:v>
                </c:pt>
                <c:pt idx="171">
                  <c:v>-80.258842507247721</c:v>
                </c:pt>
                <c:pt idx="172">
                  <c:v>-82.853642119061519</c:v>
                </c:pt>
                <c:pt idx="173">
                  <c:v>-85.146519801702723</c:v>
                </c:pt>
                <c:pt idx="174">
                  <c:v>-87.072594883807156</c:v>
                </c:pt>
                <c:pt idx="175">
                  <c:v>-88.580008778225206</c:v>
                </c:pt>
                <c:pt idx="176">
                  <c:v>-89.63125563490452</c:v>
                </c:pt>
                <c:pt idx="177">
                  <c:v>-90.203693063757626</c:v>
                </c:pt>
                <c:pt idx="178">
                  <c:v>-90.290289612362329</c:v>
                </c:pt>
                <c:pt idx="179">
                  <c:v>-89.898941720791328</c:v>
                </c:pt>
                <c:pt idx="180">
                  <c:v>-89.052764658681468</c:v>
                </c:pt>
                <c:pt idx="181">
                  <c:v>-87.788137803745315</c:v>
                </c:pt>
                <c:pt idx="182">
                  <c:v>-86.154068977291715</c:v>
                </c:pt>
                <c:pt idx="183">
                  <c:v>-84.209952546994955</c:v>
                </c:pt>
                <c:pt idx="184">
                  <c:v>-82.023477641418239</c:v>
                </c:pt>
                <c:pt idx="185">
                  <c:v>-79.668215778894421</c:v>
                </c:pt>
                <c:pt idx="186">
                  <c:v>-77.221500625257534</c:v>
                </c:pt>
                <c:pt idx="187">
                  <c:v>-74.761953022484832</c:v>
                </c:pt>
                <c:pt idx="188">
                  <c:v>-72.366886610819421</c:v>
                </c:pt>
                <c:pt idx="189">
                  <c:v>-70.109709567280461</c:v>
                </c:pt>
                <c:pt idx="190">
                  <c:v>-68.057519404561887</c:v>
                </c:pt>
                <c:pt idx="191">
                  <c:v>-66.269807633907647</c:v>
                </c:pt>
                <c:pt idx="192">
                  <c:v>-64.796526310312075</c:v>
                </c:pt>
                <c:pt idx="193">
                  <c:v>-63.676897142809743</c:v>
                </c:pt>
                <c:pt idx="194">
                  <c:v>-62.937732171619047</c:v>
                </c:pt>
                <c:pt idx="195">
                  <c:v>-62.593595701792651</c:v>
                </c:pt>
                <c:pt idx="196">
                  <c:v>-62.646359462490238</c:v>
                </c:pt>
                <c:pt idx="197">
                  <c:v>-63.085562638892426</c:v>
                </c:pt>
                <c:pt idx="198">
                  <c:v>-63.889088598557798</c:v>
                </c:pt>
                <c:pt idx="199">
                  <c:v>-65.023423885130171</c:v>
                </c:pt>
                <c:pt idx="200">
                  <c:v>-66.445717055656473</c:v>
                </c:pt>
                <c:pt idx="201">
                  <c:v>-68.105043860177233</c:v>
                </c:pt>
                <c:pt idx="202">
                  <c:v>-69.944430263696887</c:v>
                </c:pt>
                <c:pt idx="203">
                  <c:v>-71.902196176962732</c:v>
                </c:pt>
                <c:pt idx="204">
                  <c:v>-73.914472503002116</c:v>
                </c:pt>
                <c:pt idx="205">
                  <c:v>-75.917227411735922</c:v>
                </c:pt>
                <c:pt idx="206">
                  <c:v>-77.847905716329421</c:v>
                </c:pt>
                <c:pt idx="207">
                  <c:v>-79.647600066535048</c:v>
                </c:pt>
                <c:pt idx="208">
                  <c:v>-81.262945504756203</c:v>
                </c:pt>
                <c:pt idx="209">
                  <c:v>-82.64747465610877</c:v>
                </c:pt>
                <c:pt idx="210">
                  <c:v>-83.763267743499696</c:v>
                </c:pt>
                <c:pt idx="211">
                  <c:v>-84.581310260050444</c:v>
                </c:pt>
                <c:pt idx="212">
                  <c:v>-85.082795966393576</c:v>
                </c:pt>
                <c:pt idx="213">
                  <c:v>-85.259377679171237</c:v>
                </c:pt>
                <c:pt idx="214">
                  <c:v>-85.112984303777012</c:v>
                </c:pt>
                <c:pt idx="215">
                  <c:v>-84.655271837690165</c:v>
                </c:pt>
                <c:pt idx="216">
                  <c:v>-83.907456623055253</c:v>
                </c:pt>
                <c:pt idx="217">
                  <c:v>-82.899182261153769</c:v>
                </c:pt>
                <c:pt idx="218">
                  <c:v>-81.667728880358993</c:v>
                </c:pt>
                <c:pt idx="219">
                  <c:v>-80.256512977538435</c:v>
                </c:pt>
                <c:pt idx="220">
                  <c:v>-78.713812069812064</c:v>
                </c:pt>
                <c:pt idx="221">
                  <c:v>-77.090767891194673</c:v>
                </c:pt>
                <c:pt idx="222">
                  <c:v>-75.440032968320793</c:v>
                </c:pt>
                <c:pt idx="223">
                  <c:v>-73.813638468951595</c:v>
                </c:pt>
                <c:pt idx="224">
                  <c:v>-72.261957667205451</c:v>
                </c:pt>
                <c:pt idx="225">
                  <c:v>-70.831694060854659</c:v>
                </c:pt>
                <c:pt idx="226">
                  <c:v>-69.56468847763449</c:v>
                </c:pt>
                <c:pt idx="227">
                  <c:v>-68.496800199265138</c:v>
                </c:pt>
                <c:pt idx="228">
                  <c:v>-67.656866508142556</c:v>
                </c:pt>
                <c:pt idx="229">
                  <c:v>-67.066242880288826</c:v>
                </c:pt>
                <c:pt idx="230">
                  <c:v>-66.737725840811393</c:v>
                </c:pt>
                <c:pt idx="231">
                  <c:v>-66.675956570004402</c:v>
                </c:pt>
                <c:pt idx="232">
                  <c:v>-66.876871373163823</c:v>
                </c:pt>
                <c:pt idx="233">
                  <c:v>-67.328331886213945</c:v>
                </c:pt>
                <c:pt idx="234">
                  <c:v>-68.010603535623829</c:v>
                </c:pt>
                <c:pt idx="235">
                  <c:v>-68.897072900341612</c:v>
                </c:pt>
                <c:pt idx="236">
                  <c:v>-69.955716236625207</c:v>
                </c:pt>
                <c:pt idx="237">
                  <c:v>-71.149944161765134</c:v>
                </c:pt>
                <c:pt idx="238">
                  <c:v>-72.439249707867219</c:v>
                </c:pt>
                <c:pt idx="239">
                  <c:v>-73.781122739228934</c:v>
                </c:pt>
                <c:pt idx="240">
                  <c:v>-75.132829244438014</c:v>
                </c:pt>
                <c:pt idx="241">
                  <c:v>-76.452010099663497</c:v>
                </c:pt>
                <c:pt idx="242">
                  <c:v>-77.698076445774063</c:v>
                </c:pt>
                <c:pt idx="243">
                  <c:v>-78.833632059272674</c:v>
                </c:pt>
                <c:pt idx="244">
                  <c:v>-79.825733082175233</c:v>
                </c:pt>
                <c:pt idx="245">
                  <c:v>-80.646364448673083</c:v>
                </c:pt>
                <c:pt idx="246">
                  <c:v>-81.273810726462813</c:v>
                </c:pt>
                <c:pt idx="247">
                  <c:v>-81.692577519724509</c:v>
                </c:pt>
                <c:pt idx="248">
                  <c:v>-81.894455751004742</c:v>
                </c:pt>
                <c:pt idx="249">
                  <c:v>-81.878069034403524</c:v>
                </c:pt>
                <c:pt idx="250">
                  <c:v>-81.648529036700765</c:v>
                </c:pt>
                <c:pt idx="251">
                  <c:v>-81.217833212982924</c:v>
                </c:pt>
                <c:pt idx="252">
                  <c:v>-80.604189784614064</c:v>
                </c:pt>
                <c:pt idx="253">
                  <c:v>-79.830568057121525</c:v>
                </c:pt>
                <c:pt idx="254">
                  <c:v>-78.92481742742234</c:v>
                </c:pt>
                <c:pt idx="255">
                  <c:v>-77.91817864326255</c:v>
                </c:pt>
                <c:pt idx="256">
                  <c:v>-76.844453184054302</c:v>
                </c:pt>
                <c:pt idx="257">
                  <c:v>-75.738839446055863</c:v>
                </c:pt>
                <c:pt idx="258">
                  <c:v>-74.63626398809464</c:v>
                </c:pt>
                <c:pt idx="259">
                  <c:v>-73.571305140817202</c:v>
                </c:pt>
                <c:pt idx="260">
                  <c:v>-72.576365904407311</c:v>
                </c:pt>
                <c:pt idx="261">
                  <c:v>-71.681147262331535</c:v>
                </c:pt>
                <c:pt idx="262">
                  <c:v>-70.911285634815414</c:v>
                </c:pt>
                <c:pt idx="263">
                  <c:v>-70.287823478406736</c:v>
                </c:pt>
                <c:pt idx="264">
                  <c:v>-69.827183105312386</c:v>
                </c:pt>
                <c:pt idx="265">
                  <c:v>-69.540231089248124</c:v>
                </c:pt>
                <c:pt idx="266">
                  <c:v>-69.432243154319096</c:v>
                </c:pt>
                <c:pt idx="267">
                  <c:v>-69.502664407419786</c:v>
                </c:pt>
                <c:pt idx="268">
                  <c:v>-69.745347372773679</c:v>
                </c:pt>
                <c:pt idx="269">
                  <c:v>-70.148679537620964</c:v>
                </c:pt>
                <c:pt idx="270">
                  <c:v>-70.696587582178466</c:v>
                </c:pt>
                <c:pt idx="271">
                  <c:v>-71.36858875123626</c:v>
                </c:pt>
                <c:pt idx="272">
                  <c:v>-72.140826449013602</c:v>
                </c:pt>
                <c:pt idx="273">
                  <c:v>-72.986742302075001</c:v>
                </c:pt>
                <c:pt idx="274">
                  <c:v>-73.878232138085508</c:v>
                </c:pt>
                <c:pt idx="275">
                  <c:v>-74.78666920614323</c:v>
                </c:pt>
                <c:pt idx="276">
                  <c:v>-75.683300250145578</c:v>
                </c:pt>
                <c:pt idx="277">
                  <c:v>-76.540365216128023</c:v>
                </c:pt>
                <c:pt idx="278">
                  <c:v>-77.332225387617072</c:v>
                </c:pt>
                <c:pt idx="279">
                  <c:v>-78.035559515979614</c:v>
                </c:pt>
                <c:pt idx="280">
                  <c:v>-78.630666192541327</c:v>
                </c:pt>
                <c:pt idx="281">
                  <c:v>-79.101101449539684</c:v>
                </c:pt>
                <c:pt idx="282">
                  <c:v>-79.434919207637705</c:v>
                </c:pt>
                <c:pt idx="283">
                  <c:v>-79.624851972887654</c:v>
                </c:pt>
                <c:pt idx="284">
                  <c:v>-79.668143558466042</c:v>
                </c:pt>
                <c:pt idx="285">
                  <c:v>-79.566659466917997</c:v>
                </c:pt>
                <c:pt idx="286">
                  <c:v>-79.327003723148493</c:v>
                </c:pt>
                <c:pt idx="287">
                  <c:v>-78.959974638582494</c:v>
                </c:pt>
                <c:pt idx="288">
                  <c:v>-78.480163750819102</c:v>
                </c:pt>
                <c:pt idx="289">
                  <c:v>-77.905174336779666</c:v>
                </c:pt>
                <c:pt idx="290">
                  <c:v>-77.254946234889118</c:v>
                </c:pt>
                <c:pt idx="291">
                  <c:v>-76.551590723246264</c:v>
                </c:pt>
                <c:pt idx="292">
                  <c:v>-75.818163393086849</c:v>
                </c:pt>
                <c:pt idx="293">
                  <c:v>-75.077981834585117</c:v>
                </c:pt>
                <c:pt idx="294">
                  <c:v>-74.354365156910092</c:v>
                </c:pt>
                <c:pt idx="295">
                  <c:v>-73.669631639645388</c:v>
                </c:pt>
                <c:pt idx="296">
                  <c:v>-73.043999662858212</c:v>
                </c:pt>
                <c:pt idx="297">
                  <c:v>-72.495758670411803</c:v>
                </c:pt>
                <c:pt idx="298">
                  <c:v>-72.040000668929295</c:v>
                </c:pt>
                <c:pt idx="299">
                  <c:v>-71.688704192477914</c:v>
                </c:pt>
                <c:pt idx="300">
                  <c:v>-71.450292388623524</c:v>
                </c:pt>
                <c:pt idx="301">
                  <c:v>-71.329567838854601</c:v>
                </c:pt>
                <c:pt idx="302">
                  <c:v>-71.327643003224679</c:v>
                </c:pt>
                <c:pt idx="303">
                  <c:v>-71.441753537428866</c:v>
                </c:pt>
                <c:pt idx="304">
                  <c:v>-71.666036365429321</c:v>
                </c:pt>
                <c:pt idx="305">
                  <c:v>-71.991186494889746</c:v>
                </c:pt>
                <c:pt idx="306">
                  <c:v>-72.404773265397296</c:v>
                </c:pt>
                <c:pt idx="307">
                  <c:v>-72.891805757364878</c:v>
                </c:pt>
                <c:pt idx="308">
                  <c:v>-73.435624388662745</c:v>
                </c:pt>
                <c:pt idx="309">
                  <c:v>-74.017728003527566</c:v>
                </c:pt>
                <c:pt idx="310">
                  <c:v>-74.619286283735534</c:v>
                </c:pt>
                <c:pt idx="311">
                  <c:v>-75.221001481535012</c:v>
                </c:pt>
                <c:pt idx="312">
                  <c:v>-75.804296357044407</c:v>
                </c:pt>
                <c:pt idx="313">
                  <c:v>-76.351464243457841</c:v>
                </c:pt>
                <c:pt idx="314">
                  <c:v>-76.845967796641375</c:v>
                </c:pt>
                <c:pt idx="315">
                  <c:v>-77.27381848782413</c:v>
                </c:pt>
                <c:pt idx="316">
                  <c:v>-77.623325938742695</c:v>
                </c:pt>
                <c:pt idx="317">
                  <c:v>-77.885363473284386</c:v>
                </c:pt>
                <c:pt idx="318">
                  <c:v>-78.053606221362116</c:v>
                </c:pt>
                <c:pt idx="319">
                  <c:v>-78.124906566459558</c:v>
                </c:pt>
                <c:pt idx="320">
                  <c:v>-78.099486233313201</c:v>
                </c:pt>
                <c:pt idx="321">
                  <c:v>-77.980299726607427</c:v>
                </c:pt>
                <c:pt idx="322">
                  <c:v>-77.773030070675134</c:v>
                </c:pt>
                <c:pt idx="323">
                  <c:v>-77.486169833081647</c:v>
                </c:pt>
                <c:pt idx="324">
                  <c:v>-77.130384136081702</c:v>
                </c:pt>
                <c:pt idx="325">
                  <c:v>-76.718169855062186</c:v>
                </c:pt>
                <c:pt idx="326">
                  <c:v>-76.263448976088128</c:v>
                </c:pt>
                <c:pt idx="327">
                  <c:v>-75.781663523445744</c:v>
                </c:pt>
                <c:pt idx="328">
                  <c:v>-75.288298320766117</c:v>
                </c:pt>
                <c:pt idx="329">
                  <c:v>-74.798832324255656</c:v>
                </c:pt>
                <c:pt idx="330">
                  <c:v>-74.328433568528411</c:v>
                </c:pt>
                <c:pt idx="331">
                  <c:v>-73.89162777358203</c:v>
                </c:pt>
                <c:pt idx="332">
                  <c:v>-73.501601942016691</c:v>
                </c:pt>
                <c:pt idx="333">
                  <c:v>-73.169207794923778</c:v>
                </c:pt>
                <c:pt idx="334">
                  <c:v>-72.903276039717099</c:v>
                </c:pt>
                <c:pt idx="335">
                  <c:v>-72.710445826992427</c:v>
                </c:pt>
                <c:pt idx="336">
                  <c:v>-72.595372791631263</c:v>
                </c:pt>
                <c:pt idx="337">
                  <c:v>-72.560171764924661</c:v>
                </c:pt>
                <c:pt idx="338">
                  <c:v>-72.604435980058867</c:v>
                </c:pt>
                <c:pt idx="339">
                  <c:v>-72.72503751731773</c:v>
                </c:pt>
                <c:pt idx="340">
                  <c:v>-72.916321310400363</c:v>
                </c:pt>
                <c:pt idx="341">
                  <c:v>-73.170629038552249</c:v>
                </c:pt>
                <c:pt idx="342">
                  <c:v>-73.478323357626181</c:v>
                </c:pt>
                <c:pt idx="343">
                  <c:v>-73.828326572186043</c:v>
                </c:pt>
                <c:pt idx="344">
                  <c:v>-74.20888377457922</c:v>
                </c:pt>
                <c:pt idx="345">
                  <c:v>-74.607389014185827</c:v>
                </c:pt>
                <c:pt idx="346">
                  <c:v>-75.011002202868568</c:v>
                </c:pt>
                <c:pt idx="347">
                  <c:v>-75.406777770570713</c:v>
                </c:pt>
                <c:pt idx="348">
                  <c:v>-75.782853558808029</c:v>
                </c:pt>
                <c:pt idx="349">
                  <c:v>-76.127882239423968</c:v>
                </c:pt>
                <c:pt idx="350">
                  <c:v>-76.431963488774471</c:v>
                </c:pt>
                <c:pt idx="351">
                  <c:v>-76.686756096120362</c:v>
                </c:pt>
                <c:pt idx="352">
                  <c:v>-76.885580014979965</c:v>
                </c:pt>
                <c:pt idx="353">
                  <c:v>-77.023576117849458</c:v>
                </c:pt>
                <c:pt idx="354">
                  <c:v>-77.098078869953824</c:v>
                </c:pt>
                <c:pt idx="355">
                  <c:v>-77.108020449509155</c:v>
                </c:pt>
                <c:pt idx="356">
                  <c:v>-77.054655400012464</c:v>
                </c:pt>
                <c:pt idx="357">
                  <c:v>-76.941368515502958</c:v>
                </c:pt>
                <c:pt idx="358">
                  <c:v>-76.772728321659827</c:v>
                </c:pt>
                <c:pt idx="359">
                  <c:v>-76.554924506027106</c:v>
                </c:pt>
                <c:pt idx="360">
                  <c:v>-76.295647126695798</c:v>
                </c:pt>
                <c:pt idx="361">
                  <c:v>-76.004028234763979</c:v>
                </c:pt>
                <c:pt idx="362">
                  <c:v>-75.68977435813261</c:v>
                </c:pt>
                <c:pt idx="363">
                  <c:v>-75.363183482958647</c:v>
                </c:pt>
                <c:pt idx="364">
                  <c:v>-75.034434920403356</c:v>
                </c:pt>
                <c:pt idx="365">
                  <c:v>-74.713603977205807</c:v>
                </c:pt>
                <c:pt idx="366">
                  <c:v>-74.41030051028855</c:v>
                </c:pt>
                <c:pt idx="367">
                  <c:v>-74.133285935547789</c:v>
                </c:pt>
                <c:pt idx="368">
                  <c:v>-73.890578042045405</c:v>
                </c:pt>
                <c:pt idx="369">
                  <c:v>-73.688772424263348</c:v>
                </c:pt>
                <c:pt idx="370">
                  <c:v>-73.533275856788322</c:v>
                </c:pt>
                <c:pt idx="371">
                  <c:v>-73.4279307121909</c:v>
                </c:pt>
                <c:pt idx="372">
                  <c:v>-73.374679952617072</c:v>
                </c:pt>
                <c:pt idx="373">
                  <c:v>-73.373865971721202</c:v>
                </c:pt>
                <c:pt idx="374">
                  <c:v>-73.424491724946009</c:v>
                </c:pt>
                <c:pt idx="375">
                  <c:v>-73.524085442514519</c:v>
                </c:pt>
                <c:pt idx="376">
                  <c:v>-73.668243579851179</c:v>
                </c:pt>
                <c:pt idx="377">
                  <c:v>-73.851487099300371</c:v>
                </c:pt>
                <c:pt idx="378">
                  <c:v>-74.067177452387781</c:v>
                </c:pt>
                <c:pt idx="379">
                  <c:v>-74.308000311360345</c:v>
                </c:pt>
                <c:pt idx="380">
                  <c:v>-74.566125781445521</c:v>
                </c:pt>
                <c:pt idx="381">
                  <c:v>-74.833019181946881</c:v>
                </c:pt>
                <c:pt idx="382">
                  <c:v>-75.100341963628608</c:v>
                </c:pt>
                <c:pt idx="383">
                  <c:v>-75.359733340248638</c:v>
                </c:pt>
                <c:pt idx="384">
                  <c:v>-75.603164017234661</c:v>
                </c:pt>
                <c:pt idx="385">
                  <c:v>-75.823410526925471</c:v>
                </c:pt>
                <c:pt idx="386">
                  <c:v>-76.014119232020676</c:v>
                </c:pt>
                <c:pt idx="387">
                  <c:v>-76.170001832855789</c:v>
                </c:pt>
                <c:pt idx="388">
                  <c:v>-76.286838439353062</c:v>
                </c:pt>
                <c:pt idx="389">
                  <c:v>-76.361595124804481</c:v>
                </c:pt>
                <c:pt idx="390">
                  <c:v>-76.393123902575681</c:v>
                </c:pt>
                <c:pt idx="391">
                  <c:v>-76.381112786893809</c:v>
                </c:pt>
                <c:pt idx="392">
                  <c:v>-76.326752717517721</c:v>
                </c:pt>
                <c:pt idx="393">
                  <c:v>-76.232923160774746</c:v>
                </c:pt>
                <c:pt idx="394">
                  <c:v>-76.103623572813234</c:v>
                </c:pt>
                <c:pt idx="395">
                  <c:v>-75.943696417992044</c:v>
                </c:pt>
                <c:pt idx="396">
                  <c:v>-75.758618027632352</c:v>
                </c:pt>
                <c:pt idx="397">
                  <c:v>-75.554524157119616</c:v>
                </c:pt>
                <c:pt idx="398">
                  <c:v>-75.338084505573832</c:v>
                </c:pt>
                <c:pt idx="399">
                  <c:v>-75.11608101819715</c:v>
                </c:pt>
                <c:pt idx="400">
                  <c:v>-74.895370575134578</c:v>
                </c:pt>
                <c:pt idx="401">
                  <c:v>-74.682992550085586</c:v>
                </c:pt>
                <c:pt idx="402">
                  <c:v>-74.485385141226388</c:v>
                </c:pt>
                <c:pt idx="403">
                  <c:v>-74.30828254978293</c:v>
                </c:pt>
                <c:pt idx="404">
                  <c:v>-74.156878241871695</c:v>
                </c:pt>
                <c:pt idx="405">
                  <c:v>-74.035169559488054</c:v>
                </c:pt>
                <c:pt idx="406">
                  <c:v>-73.94637768571566</c:v>
                </c:pt>
                <c:pt idx="407">
                  <c:v>-73.892482910832214</c:v>
                </c:pt>
                <c:pt idx="408">
                  <c:v>-73.874288330635736</c:v>
                </c:pt>
                <c:pt idx="409">
                  <c:v>-73.8913217177642</c:v>
                </c:pt>
                <c:pt idx="410">
                  <c:v>-73.942400256925268</c:v>
                </c:pt>
                <c:pt idx="411">
                  <c:v>-74.024973919536393</c:v>
                </c:pt>
                <c:pt idx="412">
                  <c:v>-74.135495025659111</c:v>
                </c:pt>
                <c:pt idx="413">
                  <c:v>-74.269928063053811</c:v>
                </c:pt>
                <c:pt idx="414">
                  <c:v>-74.423434722061174</c:v>
                </c:pt>
                <c:pt idx="415">
                  <c:v>-74.590543832222664</c:v>
                </c:pt>
                <c:pt idx="416">
                  <c:v>-74.76591653675257</c:v>
                </c:pt>
                <c:pt idx="417">
                  <c:v>-74.944066202134081</c:v>
                </c:pt>
                <c:pt idx="418">
                  <c:v>-75.119347519193369</c:v>
                </c:pt>
                <c:pt idx="419">
                  <c:v>-75.286272925603711</c:v>
                </c:pt>
                <c:pt idx="420">
                  <c:v>-75.440071851327573</c:v>
                </c:pt>
                <c:pt idx="421">
                  <c:v>-75.576342444933744</c:v>
                </c:pt>
                <c:pt idx="422">
                  <c:v>-75.691217965371692</c:v>
                </c:pt>
                <c:pt idx="423">
                  <c:v>-75.781785618991478</c:v>
                </c:pt>
                <c:pt idx="424">
                  <c:v>-75.845994955723057</c:v>
                </c:pt>
                <c:pt idx="425">
                  <c:v>-75.882394773898838</c:v>
                </c:pt>
                <c:pt idx="426">
                  <c:v>-75.890190984442228</c:v>
                </c:pt>
                <c:pt idx="427">
                  <c:v>-75.869886091506004</c:v>
                </c:pt>
                <c:pt idx="428">
                  <c:v>-75.822959447296284</c:v>
                </c:pt>
                <c:pt idx="429">
                  <c:v>-75.751261814171912</c:v>
                </c:pt>
                <c:pt idx="430">
                  <c:v>-75.657755228573066</c:v>
                </c:pt>
                <c:pt idx="431">
                  <c:v>-75.546064408574892</c:v>
                </c:pt>
                <c:pt idx="432">
                  <c:v>-75.420132401371745</c:v>
                </c:pt>
                <c:pt idx="433">
                  <c:v>-75.284387163534987</c:v>
                </c:pt>
                <c:pt idx="434">
                  <c:v>-75.143278117411512</c:v>
                </c:pt>
                <c:pt idx="435">
                  <c:v>-75.001290574088458</c:v>
                </c:pt>
                <c:pt idx="436">
                  <c:v>-74.862626332673813</c:v>
                </c:pt>
                <c:pt idx="437">
                  <c:v>-74.731607274299293</c:v>
                </c:pt>
                <c:pt idx="438">
                  <c:v>-74.612398794402182</c:v>
                </c:pt>
                <c:pt idx="439">
                  <c:v>-74.508503236038607</c:v>
                </c:pt>
                <c:pt idx="440">
                  <c:v>-74.422975194495606</c:v>
                </c:pt>
                <c:pt idx="441">
                  <c:v>-74.357931552297046</c:v>
                </c:pt>
                <c:pt idx="442">
                  <c:v>-74.314736357552206</c:v>
                </c:pt>
                <c:pt idx="443">
                  <c:v>-74.294261663064887</c:v>
                </c:pt>
                <c:pt idx="444">
                  <c:v>-74.296332814413674</c:v>
                </c:pt>
                <c:pt idx="445">
                  <c:v>-74.320089573027587</c:v>
                </c:pt>
                <c:pt idx="446">
                  <c:v>-74.364492639241746</c:v>
                </c:pt>
                <c:pt idx="447">
                  <c:v>-74.427978011993858</c:v>
                </c:pt>
                <c:pt idx="448">
                  <c:v>-74.508391912571284</c:v>
                </c:pt>
                <c:pt idx="449">
                  <c:v>-74.603128200990795</c:v>
                </c:pt>
                <c:pt idx="450">
                  <c:v>-74.708849044164467</c:v>
                </c:pt>
                <c:pt idx="451">
                  <c:v>-74.821911112362386</c:v>
                </c:pt>
                <c:pt idx="452">
                  <c:v>-74.93887859743505</c:v>
                </c:pt>
                <c:pt idx="453">
                  <c:v>-75.05574665079655</c:v>
                </c:pt>
                <c:pt idx="454">
                  <c:v>-75.168592179846755</c:v>
                </c:pt>
                <c:pt idx="455">
                  <c:v>-75.273944306344148</c:v>
                </c:pt>
                <c:pt idx="456">
                  <c:v>-75.36839542810003</c:v>
                </c:pt>
                <c:pt idx="457">
                  <c:v>-75.44944938467124</c:v>
                </c:pt>
                <c:pt idx="458">
                  <c:v>-75.51498009808671</c:v>
                </c:pt>
                <c:pt idx="459">
                  <c:v>-75.563229913199493</c:v>
                </c:pt>
                <c:pt idx="460">
                  <c:v>-75.593076191542366</c:v>
                </c:pt>
                <c:pt idx="461">
                  <c:v>-75.603847469578795</c:v>
                </c:pt>
                <c:pt idx="462">
                  <c:v>-75.595539428997114</c:v>
                </c:pt>
                <c:pt idx="463">
                  <c:v>-75.56900263959399</c:v>
                </c:pt>
                <c:pt idx="464">
                  <c:v>-75.525202586712624</c:v>
                </c:pt>
                <c:pt idx="465">
                  <c:v>-75.466056889057029</c:v>
                </c:pt>
                <c:pt idx="466">
                  <c:v>-75.393724881854368</c:v>
                </c:pt>
                <c:pt idx="467">
                  <c:v>-75.310790385194949</c:v>
                </c:pt>
                <c:pt idx="468">
                  <c:v>-75.219847589669172</c:v>
                </c:pt>
                <c:pt idx="469">
                  <c:v>-75.123941431815766</c:v>
                </c:pt>
                <c:pt idx="470">
                  <c:v>-75.026135583182878</c:v>
                </c:pt>
                <c:pt idx="471">
                  <c:v>-74.929623050150951</c:v>
                </c:pt>
                <c:pt idx="472">
                  <c:v>-74.837316543924345</c:v>
                </c:pt>
                <c:pt idx="473">
                  <c:v>-74.751898714757004</c:v>
                </c:pt>
                <c:pt idx="474">
                  <c:v>-74.676053274313674</c:v>
                </c:pt>
                <c:pt idx="475">
                  <c:v>-74.611682176322503</c:v>
                </c:pt>
                <c:pt idx="476">
                  <c:v>-74.560569640748184</c:v>
                </c:pt>
                <c:pt idx="477">
                  <c:v>-74.52425448183665</c:v>
                </c:pt>
                <c:pt idx="478">
                  <c:v>-74.503481536190321</c:v>
                </c:pt>
                <c:pt idx="479">
                  <c:v>-74.498511072769688</c:v>
                </c:pt>
                <c:pt idx="480">
                  <c:v>-74.509033220478528</c:v>
                </c:pt>
                <c:pt idx="481">
                  <c:v>-74.534065218179563</c:v>
                </c:pt>
                <c:pt idx="482">
                  <c:v>-74.572672286758959</c:v>
                </c:pt>
                <c:pt idx="483">
                  <c:v>-74.62327749762737</c:v>
                </c:pt>
                <c:pt idx="484">
                  <c:v>-74.683985032573773</c:v>
                </c:pt>
                <c:pt idx="485">
                  <c:v>-74.752978818385216</c:v>
                </c:pt>
                <c:pt idx="486">
                  <c:v>-74.82798139292089</c:v>
                </c:pt>
                <c:pt idx="487">
                  <c:v>-74.906728477423684</c:v>
                </c:pt>
                <c:pt idx="488">
                  <c:v>-74.98662587025143</c:v>
                </c:pt>
                <c:pt idx="489">
                  <c:v>-75.064902464562735</c:v>
                </c:pt>
                <c:pt idx="490">
                  <c:v>-75.138961889372979</c:v>
                </c:pt>
                <c:pt idx="491">
                  <c:v>-75.206442484723013</c:v>
                </c:pt>
                <c:pt idx="492">
                  <c:v>-75.265286166821042</c:v>
                </c:pt>
                <c:pt idx="493">
                  <c:v>-75.31386371139746</c:v>
                </c:pt>
                <c:pt idx="494">
                  <c:v>-75.35108745493639</c:v>
                </c:pt>
                <c:pt idx="495">
                  <c:v>-75.37623899994847</c:v>
                </c:pt>
                <c:pt idx="496">
                  <c:v>-75.388843768724385</c:v>
                </c:pt>
                <c:pt idx="497">
                  <c:v>-75.388818282822001</c:v>
                </c:pt>
                <c:pt idx="498">
                  <c:v>-75.376388089617748</c:v>
                </c:pt>
                <c:pt idx="499">
                  <c:v>-75.351927679035526</c:v>
                </c:pt>
                <c:pt idx="500">
                  <c:v>-75.316427204066926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A0-4B42-89AF-91F39C123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109312"/>
        <c:axId val="2013111808"/>
      </c:scatterChart>
      <c:valAx>
        <c:axId val="201310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111808"/>
        <c:crosses val="autoZero"/>
        <c:crossBetween val="midCat"/>
      </c:valAx>
      <c:valAx>
        <c:axId val="201311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109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9</xdr:row>
      <xdr:rowOff>0</xdr:rowOff>
    </xdr:from>
    <xdr:to>
      <xdr:col>13</xdr:col>
      <xdr:colOff>304800</xdr:colOff>
      <xdr:row>24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514350</xdr:colOff>
      <xdr:row>12</xdr:row>
      <xdr:rowOff>171450</xdr:rowOff>
    </xdr:from>
    <xdr:to>
      <xdr:col>22</xdr:col>
      <xdr:colOff>209550</xdr:colOff>
      <xdr:row>27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9"/>
  <sheetViews>
    <sheetView workbookViewId="0"/>
  </sheetViews>
  <sheetFormatPr defaultRowHeight="15" x14ac:dyDescent="0.25"/>
  <sheetData>
    <row r="1" spans="1:7" x14ac:dyDescent="0.25">
      <c r="G1">
        <v>1</v>
      </c>
    </row>
    <row r="2" spans="1:7" x14ac:dyDescent="0.25">
      <c r="G2">
        <v>39</v>
      </c>
    </row>
    <row r="3" spans="1:7" x14ac:dyDescent="0.25">
      <c r="G3">
        <v>0.02</v>
      </c>
    </row>
    <row r="4" spans="1:7" x14ac:dyDescent="0.25">
      <c r="G4">
        <v>1</v>
      </c>
    </row>
    <row r="5" spans="1:7" x14ac:dyDescent="0.25">
      <c r="G5">
        <v>0.8</v>
      </c>
    </row>
    <row r="6" spans="1:7" x14ac:dyDescent="0.25">
      <c r="G6">
        <v>1</v>
      </c>
    </row>
    <row r="8" spans="1:7" x14ac:dyDescent="0.25">
      <c r="A8" s="3" t="s">
        <v>0</v>
      </c>
      <c r="B8" s="3" t="s">
        <v>21</v>
      </c>
      <c r="C8" s="3" t="s">
        <v>1</v>
      </c>
      <c r="D8" s="3" t="s">
        <v>2</v>
      </c>
      <c r="E8" s="3" t="s">
        <v>8</v>
      </c>
      <c r="F8" s="3" t="s">
        <v>19</v>
      </c>
    </row>
    <row r="9" spans="1:7" x14ac:dyDescent="0.25">
      <c r="A9" s="1">
        <v>0</v>
      </c>
      <c r="B9" s="1">
        <v>1</v>
      </c>
      <c r="C9" s="1">
        <v>0</v>
      </c>
      <c r="D9" s="1">
        <f t="shared" ref="D9:D72" si="0">-k*(B9-E9)/m-(b+bb)*C9</f>
        <v>-7.7999999999999996E-3</v>
      </c>
      <c r="E9" s="1">
        <v>0</v>
      </c>
    </row>
    <row r="10" spans="1:7" x14ac:dyDescent="0.25">
      <c r="A10" s="1">
        <f t="shared" ref="A10:A73" si="1">A9+dt</f>
        <v>2</v>
      </c>
      <c r="B10" s="1">
        <f t="shared" ref="B10:B73" si="2">B9+C9*dt</f>
        <v>1</v>
      </c>
      <c r="C10" s="1">
        <f t="shared" ref="C10:C73" si="3">C9+D9*dt</f>
        <v>-1.5599999999999999E-2</v>
      </c>
      <c r="D10" s="1">
        <f t="shared" si="0"/>
        <v>-7.3819199999999993E-3</v>
      </c>
      <c r="E10" s="1">
        <f>E9</f>
        <v>0</v>
      </c>
    </row>
    <row r="11" spans="1:7" x14ac:dyDescent="0.25">
      <c r="A11" s="1">
        <f t="shared" si="1"/>
        <v>4</v>
      </c>
      <c r="B11" s="1">
        <f t="shared" si="2"/>
        <v>0.96879999999999999</v>
      </c>
      <c r="C11" s="1">
        <f t="shared" si="3"/>
        <v>-3.0363839999999996E-2</v>
      </c>
      <c r="D11" s="1">
        <f t="shared" si="0"/>
        <v>-6.7428890879999998E-3</v>
      </c>
      <c r="E11" s="1">
        <f t="shared" ref="E11:E74" si="4">E10</f>
        <v>0</v>
      </c>
    </row>
    <row r="12" spans="1:7" x14ac:dyDescent="0.25">
      <c r="A12" s="1">
        <f t="shared" si="1"/>
        <v>6</v>
      </c>
      <c r="B12" s="1">
        <f t="shared" si="2"/>
        <v>0.90807232000000004</v>
      </c>
      <c r="C12" s="1">
        <f t="shared" si="3"/>
        <v>-4.3849618175999999E-2</v>
      </c>
      <c r="D12" s="1">
        <f t="shared" si="0"/>
        <v>-5.9077943288832003E-3</v>
      </c>
      <c r="E12" s="1">
        <f t="shared" si="4"/>
        <v>0</v>
      </c>
    </row>
    <row r="13" spans="1:7" x14ac:dyDescent="0.25">
      <c r="A13" s="1">
        <f t="shared" si="1"/>
        <v>8</v>
      </c>
      <c r="B13" s="1">
        <f t="shared" si="2"/>
        <v>0.8203730836480001</v>
      </c>
      <c r="C13" s="1">
        <f t="shared" si="3"/>
        <v>-5.5665206833766398E-2</v>
      </c>
      <c r="D13" s="1">
        <f t="shared" si="0"/>
        <v>-4.907082509309461E-3</v>
      </c>
      <c r="E13" s="1">
        <f t="shared" si="4"/>
        <v>0</v>
      </c>
    </row>
    <row r="14" spans="1:7" x14ac:dyDescent="0.25">
      <c r="A14" s="1">
        <f t="shared" si="1"/>
        <v>10</v>
      </c>
      <c r="B14" s="1">
        <f t="shared" si="2"/>
        <v>0.70904266998046728</v>
      </c>
      <c r="C14" s="1">
        <f t="shared" si="3"/>
        <v>-6.5479371852385324E-2</v>
      </c>
      <c r="D14" s="1">
        <f t="shared" si="0"/>
        <v>-3.7756856602037181E-3</v>
      </c>
      <c r="E14" s="1">
        <f t="shared" si="4"/>
        <v>0</v>
      </c>
    </row>
    <row r="15" spans="1:7" x14ac:dyDescent="0.25">
      <c r="A15" s="1">
        <f t="shared" si="1"/>
        <v>12</v>
      </c>
      <c r="B15" s="1">
        <f t="shared" si="2"/>
        <v>0.5780839262756966</v>
      </c>
      <c r="C15" s="1">
        <f t="shared" si="3"/>
        <v>-7.3030743172792761E-2</v>
      </c>
      <c r="D15" s="1">
        <f t="shared" si="0"/>
        <v>-2.5518307079195877E-3</v>
      </c>
      <c r="E15" s="1">
        <f t="shared" si="4"/>
        <v>0</v>
      </c>
    </row>
    <row r="16" spans="1:7" x14ac:dyDescent="0.25">
      <c r="A16" s="1">
        <f t="shared" si="1"/>
        <v>14</v>
      </c>
      <c r="B16" s="1">
        <f t="shared" si="2"/>
        <v>0.43202243993011108</v>
      </c>
      <c r="C16" s="1">
        <f t="shared" si="3"/>
        <v>-7.8134404588631939E-2</v>
      </c>
      <c r="D16" s="1">
        <f t="shared" si="0"/>
        <v>-1.2757729884795301E-3</v>
      </c>
      <c r="E16" s="1">
        <f t="shared" si="4"/>
        <v>0</v>
      </c>
    </row>
    <row r="17" spans="1:5" x14ac:dyDescent="0.25">
      <c r="A17" s="1">
        <f t="shared" si="1"/>
        <v>16</v>
      </c>
      <c r="B17" s="1">
        <f t="shared" si="2"/>
        <v>0.2757536307528472</v>
      </c>
      <c r="C17" s="1">
        <f t="shared" si="3"/>
        <v>-8.0685950565590997E-2</v>
      </c>
      <c r="D17" s="1">
        <f t="shared" si="0"/>
        <v>1.1505155285630904E-5</v>
      </c>
      <c r="E17" s="1">
        <f t="shared" si="4"/>
        <v>0</v>
      </c>
    </row>
    <row r="18" spans="1:5" x14ac:dyDescent="0.25">
      <c r="A18" s="1">
        <f t="shared" si="1"/>
        <v>18</v>
      </c>
      <c r="B18" s="1">
        <f t="shared" si="2"/>
        <v>0.11438172962166521</v>
      </c>
      <c r="C18" s="1">
        <f t="shared" si="3"/>
        <v>-8.066294025501973E-2</v>
      </c>
      <c r="D18" s="1">
        <f t="shared" si="0"/>
        <v>1.2695893077855403E-3</v>
      </c>
      <c r="E18" s="1">
        <f t="shared" si="4"/>
        <v>0</v>
      </c>
    </row>
    <row r="19" spans="1:5" x14ac:dyDescent="0.25">
      <c r="A19" s="1">
        <f t="shared" si="1"/>
        <v>20</v>
      </c>
      <c r="B19" s="1">
        <f t="shared" si="2"/>
        <v>-4.6944150888374253E-2</v>
      </c>
      <c r="C19" s="1">
        <f t="shared" si="3"/>
        <v>-7.8123761639448647E-2</v>
      </c>
      <c r="D19" s="1">
        <f t="shared" si="0"/>
        <v>2.4598811888665432E-3</v>
      </c>
      <c r="E19" s="1">
        <f t="shared" si="4"/>
        <v>0</v>
      </c>
    </row>
    <row r="20" spans="1:5" x14ac:dyDescent="0.25">
      <c r="A20" s="1">
        <f t="shared" si="1"/>
        <v>22</v>
      </c>
      <c r="B20" s="1">
        <f t="shared" si="2"/>
        <v>-0.20319167416727155</v>
      </c>
      <c r="C20" s="1">
        <f t="shared" si="3"/>
        <v>-7.3203999261715558E-2</v>
      </c>
      <c r="D20" s="1">
        <f t="shared" si="0"/>
        <v>3.5467622387186952E-3</v>
      </c>
      <c r="E20" s="1">
        <f t="shared" si="4"/>
        <v>0</v>
      </c>
    </row>
    <row r="21" spans="1:5" x14ac:dyDescent="0.25">
      <c r="A21" s="1">
        <f t="shared" si="1"/>
        <v>24</v>
      </c>
      <c r="B21" s="1">
        <f t="shared" si="2"/>
        <v>-0.34959967269070269</v>
      </c>
      <c r="C21" s="1">
        <f t="shared" si="3"/>
        <v>-6.6110474784278173E-2</v>
      </c>
      <c r="D21" s="1">
        <f t="shared" si="0"/>
        <v>4.4986381712061362E-3</v>
      </c>
      <c r="E21" s="1">
        <f t="shared" si="4"/>
        <v>0</v>
      </c>
    </row>
    <row r="22" spans="1:5" x14ac:dyDescent="0.25">
      <c r="A22" s="1">
        <f t="shared" si="1"/>
        <v>26</v>
      </c>
      <c r="B22" s="1">
        <f t="shared" si="2"/>
        <v>-0.48182062225925903</v>
      </c>
      <c r="C22" s="1">
        <f t="shared" si="3"/>
        <v>-5.7113198441865902E-2</v>
      </c>
      <c r="D22" s="1">
        <f t="shared" si="0"/>
        <v>5.288834571864227E-3</v>
      </c>
      <c r="E22" s="1">
        <f t="shared" si="4"/>
        <v>0</v>
      </c>
    </row>
    <row r="23" spans="1:5" x14ac:dyDescent="0.25">
      <c r="A23" s="1">
        <f t="shared" si="1"/>
        <v>28</v>
      </c>
      <c r="B23" s="1">
        <f t="shared" si="2"/>
        <v>-0.59604701914299085</v>
      </c>
      <c r="C23" s="1">
        <f t="shared" si="3"/>
        <v>-4.6535529298137451E-2</v>
      </c>
      <c r="D23" s="1">
        <f t="shared" si="0"/>
        <v>5.8963189345054116E-3</v>
      </c>
      <c r="E23" s="1">
        <f t="shared" si="4"/>
        <v>0</v>
      </c>
    </row>
    <row r="24" spans="1:5" x14ac:dyDescent="0.25">
      <c r="A24" s="1">
        <f t="shared" si="1"/>
        <v>30</v>
      </c>
      <c r="B24" s="1">
        <f t="shared" si="2"/>
        <v>-0.68911807773926581</v>
      </c>
      <c r="C24" s="1">
        <f t="shared" si="3"/>
        <v>-3.4742891429126628E-2</v>
      </c>
      <c r="D24" s="1">
        <f t="shared" si="0"/>
        <v>6.3062304966668668E-3</v>
      </c>
      <c r="E24" s="1">
        <f t="shared" si="4"/>
        <v>0</v>
      </c>
    </row>
    <row r="25" spans="1:5" x14ac:dyDescent="0.25">
      <c r="A25" s="1">
        <f t="shared" si="1"/>
        <v>32</v>
      </c>
      <c r="B25" s="1">
        <f t="shared" si="2"/>
        <v>-0.75860386059751905</v>
      </c>
      <c r="C25" s="1">
        <f t="shared" si="3"/>
        <v>-2.2130430435792894E-2</v>
      </c>
      <c r="D25" s="1">
        <f t="shared" si="0"/>
        <v>6.5102056483398981E-3</v>
      </c>
      <c r="E25" s="1">
        <f t="shared" si="4"/>
        <v>0</v>
      </c>
    </row>
    <row r="26" spans="1:5" x14ac:dyDescent="0.25">
      <c r="A26" s="1">
        <f t="shared" si="1"/>
        <v>34</v>
      </c>
      <c r="B26" s="1">
        <f t="shared" si="2"/>
        <v>-0.80286472146910481</v>
      </c>
      <c r="C26" s="1">
        <f t="shared" si="3"/>
        <v>-9.1100191391130982E-3</v>
      </c>
      <c r="D26" s="1">
        <f t="shared" si="0"/>
        <v>6.5064933403872482E-3</v>
      </c>
      <c r="E26" s="1">
        <f t="shared" si="4"/>
        <v>0</v>
      </c>
    </row>
    <row r="27" spans="1:5" x14ac:dyDescent="0.25">
      <c r="A27" s="1">
        <f t="shared" si="1"/>
        <v>36</v>
      </c>
      <c r="B27" s="1">
        <f t="shared" si="2"/>
        <v>-0.82108475974733097</v>
      </c>
      <c r="C27" s="1">
        <f t="shared" si="3"/>
        <v>3.9029675416613983E-3</v>
      </c>
      <c r="D27" s="1">
        <f t="shared" si="0"/>
        <v>6.2998615959126555E-3</v>
      </c>
      <c r="E27" s="1">
        <f t="shared" si="4"/>
        <v>0</v>
      </c>
    </row>
    <row r="28" spans="1:5" x14ac:dyDescent="0.25">
      <c r="A28" s="1">
        <f t="shared" si="1"/>
        <v>38</v>
      </c>
      <c r="B28" s="1">
        <f t="shared" si="2"/>
        <v>-0.81327882466400814</v>
      </c>
      <c r="C28" s="1">
        <f t="shared" si="3"/>
        <v>1.6502690733486709E-2</v>
      </c>
      <c r="D28" s="1">
        <f t="shared" si="0"/>
        <v>5.9013027207218188E-3</v>
      </c>
      <c r="E28" s="1">
        <f t="shared" si="4"/>
        <v>0</v>
      </c>
    </row>
    <row r="29" spans="1:5" x14ac:dyDescent="0.25">
      <c r="A29" s="1">
        <f t="shared" si="1"/>
        <v>40</v>
      </c>
      <c r="B29" s="1">
        <f t="shared" si="2"/>
        <v>-0.78027344319703473</v>
      </c>
      <c r="C29" s="1">
        <f t="shared" si="3"/>
        <v>2.8305296174930349E-2</v>
      </c>
      <c r="D29" s="1">
        <f t="shared" si="0"/>
        <v>5.3275509194487371E-3</v>
      </c>
      <c r="E29" s="1">
        <f t="shared" si="4"/>
        <v>0</v>
      </c>
    </row>
    <row r="30" spans="1:5" x14ac:dyDescent="0.25">
      <c r="A30" s="1">
        <f t="shared" si="1"/>
        <v>42</v>
      </c>
      <c r="B30" s="1">
        <f t="shared" si="2"/>
        <v>-0.72366285084717408</v>
      </c>
      <c r="C30" s="1">
        <f t="shared" si="3"/>
        <v>3.8960398013827821E-2</v>
      </c>
      <c r="D30" s="1">
        <f t="shared" si="0"/>
        <v>4.600431569837372E-3</v>
      </c>
      <c r="E30" s="1">
        <f t="shared" si="4"/>
        <v>0</v>
      </c>
    </row>
    <row r="31" spans="1:5" x14ac:dyDescent="0.25">
      <c r="A31" s="1">
        <f t="shared" si="1"/>
        <v>44</v>
      </c>
      <c r="B31" s="1">
        <f t="shared" si="2"/>
        <v>-0.64574205481951841</v>
      </c>
      <c r="C31" s="1">
        <f t="shared" si="3"/>
        <v>4.8161261153502569E-2</v>
      </c>
      <c r="D31" s="1">
        <f t="shared" si="0"/>
        <v>3.7460662286783741E-3</v>
      </c>
      <c r="E31" s="1">
        <f t="shared" si="4"/>
        <v>0</v>
      </c>
    </row>
    <row r="32" spans="1:5" x14ac:dyDescent="0.25">
      <c r="A32" s="1">
        <f t="shared" si="1"/>
        <v>46</v>
      </c>
      <c r="B32" s="1">
        <f t="shared" si="2"/>
        <v>-0.5494195325125133</v>
      </c>
      <c r="C32" s="1">
        <f t="shared" si="3"/>
        <v>5.5653393610859317E-2</v>
      </c>
      <c r="D32" s="1">
        <f t="shared" si="0"/>
        <v>2.7939614048265739E-3</v>
      </c>
      <c r="E32" s="1">
        <f t="shared" si="4"/>
        <v>0</v>
      </c>
    </row>
    <row r="33" spans="1:6" x14ac:dyDescent="0.25">
      <c r="A33" s="1">
        <f t="shared" si="1"/>
        <v>48</v>
      </c>
      <c r="B33" s="1">
        <f t="shared" si="2"/>
        <v>-0.43811274529079469</v>
      </c>
      <c r="C33" s="1">
        <f t="shared" si="3"/>
        <v>6.1241316420512462E-2</v>
      </c>
      <c r="D33" s="1">
        <f t="shared" si="0"/>
        <v>1.7760121331984644E-3</v>
      </c>
      <c r="E33" s="1">
        <f t="shared" si="4"/>
        <v>0</v>
      </c>
    </row>
    <row r="34" spans="1:6" x14ac:dyDescent="0.25">
      <c r="A34" s="1">
        <f t="shared" si="1"/>
        <v>50</v>
      </c>
      <c r="B34" s="1">
        <f t="shared" si="2"/>
        <v>-0.3156301124497698</v>
      </c>
      <c r="C34" s="1">
        <f t="shared" si="3"/>
        <v>6.4793340686909395E-2</v>
      </c>
      <c r="D34" s="1">
        <f t="shared" si="0"/>
        <v>7.2545334669903237E-4</v>
      </c>
      <c r="E34" s="1">
        <f>Push</f>
        <v>0</v>
      </c>
      <c r="F34" t="s">
        <v>2</v>
      </c>
    </row>
    <row r="35" spans="1:6" x14ac:dyDescent="0.25">
      <c r="A35" s="1">
        <f t="shared" si="1"/>
        <v>52</v>
      </c>
      <c r="B35" s="1">
        <f t="shared" si="2"/>
        <v>-0.186043431075951</v>
      </c>
      <c r="C35" s="1">
        <f t="shared" si="3"/>
        <v>6.6244247380307458E-2</v>
      </c>
      <c r="D35" s="1">
        <f t="shared" si="0"/>
        <v>-3.2420706739982224E-4</v>
      </c>
      <c r="E35" s="1">
        <f t="shared" si="4"/>
        <v>0</v>
      </c>
    </row>
    <row r="36" spans="1:6" x14ac:dyDescent="0.25">
      <c r="A36" s="1">
        <f t="shared" si="1"/>
        <v>54</v>
      </c>
      <c r="B36" s="1">
        <f t="shared" si="2"/>
        <v>-5.3554936315336088E-2</v>
      </c>
      <c r="C36" s="1">
        <f t="shared" si="3"/>
        <v>6.5595833245507815E-2</v>
      </c>
      <c r="D36" s="1">
        <f t="shared" si="0"/>
        <v>-1.340239827719988E-3</v>
      </c>
      <c r="E36" s="1">
        <f t="shared" si="4"/>
        <v>0</v>
      </c>
    </row>
    <row r="37" spans="1:6" x14ac:dyDescent="0.25">
      <c r="A37" s="1">
        <f t="shared" si="1"/>
        <v>56</v>
      </c>
      <c r="B37" s="1">
        <f t="shared" si="2"/>
        <v>7.7636730175679541E-2</v>
      </c>
      <c r="C37" s="1">
        <f t="shared" si="3"/>
        <v>6.2915353590067835E-2</v>
      </c>
      <c r="D37" s="1">
        <f t="shared" si="0"/>
        <v>-2.2916979715841184E-3</v>
      </c>
      <c r="E37" s="1">
        <f t="shared" si="4"/>
        <v>0</v>
      </c>
    </row>
    <row r="38" spans="1:6" x14ac:dyDescent="0.25">
      <c r="A38" s="1">
        <f t="shared" si="1"/>
        <v>58</v>
      </c>
      <c r="B38" s="1">
        <f t="shared" si="2"/>
        <v>0.20346743735581521</v>
      </c>
      <c r="C38" s="1">
        <f t="shared" si="3"/>
        <v>5.83319576468996E-2</v>
      </c>
      <c r="D38" s="1">
        <f t="shared" si="0"/>
        <v>-3.1503424763122678E-3</v>
      </c>
      <c r="E38" s="1">
        <f t="shared" si="4"/>
        <v>0</v>
      </c>
    </row>
    <row r="39" spans="1:6" x14ac:dyDescent="0.25">
      <c r="A39" s="1">
        <f t="shared" si="1"/>
        <v>60</v>
      </c>
      <c r="B39" s="1">
        <f t="shared" si="2"/>
        <v>0.3201313526496144</v>
      </c>
      <c r="C39" s="1">
        <f t="shared" si="3"/>
        <v>5.2031272694275064E-2</v>
      </c>
      <c r="D39" s="1">
        <f t="shared" si="0"/>
        <v>-3.8914626588735638E-3</v>
      </c>
      <c r="E39" s="1">
        <f t="shared" si="4"/>
        <v>0</v>
      </c>
    </row>
    <row r="40" spans="1:6" x14ac:dyDescent="0.25">
      <c r="A40" s="1">
        <f t="shared" si="1"/>
        <v>62</v>
      </c>
      <c r="B40" s="1">
        <f t="shared" si="2"/>
        <v>0.42419389803816454</v>
      </c>
      <c r="C40" s="1">
        <f t="shared" si="3"/>
        <v>4.4248347376527934E-2</v>
      </c>
      <c r="D40" s="1">
        <f t="shared" si="0"/>
        <v>-4.4945681143886322E-3</v>
      </c>
      <c r="E40" s="1">
        <f t="shared" si="4"/>
        <v>0</v>
      </c>
    </row>
    <row r="41" spans="1:6" x14ac:dyDescent="0.25">
      <c r="A41" s="1">
        <f t="shared" si="1"/>
        <v>64</v>
      </c>
      <c r="B41" s="1">
        <f t="shared" si="2"/>
        <v>0.51269059279122042</v>
      </c>
      <c r="C41" s="1">
        <f t="shared" si="3"/>
        <v>3.5259211147750671E-2</v>
      </c>
      <c r="D41" s="1">
        <f t="shared" si="0"/>
        <v>-4.9439334825312374E-3</v>
      </c>
      <c r="E41" s="1">
        <f t="shared" si="4"/>
        <v>0</v>
      </c>
    </row>
    <row r="42" spans="1:6" x14ac:dyDescent="0.25">
      <c r="A42" s="1">
        <f t="shared" si="1"/>
        <v>66</v>
      </c>
      <c r="B42" s="1">
        <f t="shared" si="2"/>
        <v>0.58320901508672174</v>
      </c>
      <c r="C42" s="1">
        <f t="shared" si="3"/>
        <v>2.5371344182688195E-2</v>
      </c>
      <c r="D42" s="1">
        <f t="shared" si="0"/>
        <v>-5.2289823417724732E-3</v>
      </c>
      <c r="E42" s="1">
        <f t="shared" si="4"/>
        <v>0</v>
      </c>
    </row>
    <row r="43" spans="1:6" x14ac:dyDescent="0.25">
      <c r="A43" s="1">
        <f t="shared" si="1"/>
        <v>68</v>
      </c>
      <c r="B43" s="1">
        <f t="shared" si="2"/>
        <v>0.63395170345209817</v>
      </c>
      <c r="C43" s="1">
        <f t="shared" si="3"/>
        <v>1.4913379499143248E-2</v>
      </c>
      <c r="D43" s="1">
        <f t="shared" si="0"/>
        <v>-5.3445018575034049E-3</v>
      </c>
      <c r="E43" s="1">
        <f t="shared" si="4"/>
        <v>0</v>
      </c>
    </row>
    <row r="44" spans="1:6" x14ac:dyDescent="0.25">
      <c r="A44" s="1">
        <f t="shared" si="1"/>
        <v>70</v>
      </c>
      <c r="B44" s="1">
        <f t="shared" si="2"/>
        <v>0.66377846245038463</v>
      </c>
      <c r="C44" s="1">
        <f t="shared" si="3"/>
        <v>4.2243757841364388E-3</v>
      </c>
      <c r="D44" s="1">
        <f t="shared" si="0"/>
        <v>-5.2906852781278565E-3</v>
      </c>
      <c r="E44" s="1">
        <f t="shared" si="4"/>
        <v>0</v>
      </c>
    </row>
    <row r="45" spans="1:6" x14ac:dyDescent="0.25">
      <c r="A45" s="1">
        <f t="shared" si="1"/>
        <v>72</v>
      </c>
      <c r="B45" s="1">
        <f t="shared" si="2"/>
        <v>0.67222721401865748</v>
      </c>
      <c r="C45" s="1">
        <f t="shared" si="3"/>
        <v>-6.3569947721192743E-3</v>
      </c>
      <c r="D45" s="1">
        <f t="shared" si="0"/>
        <v>-5.0730048094527313E-3</v>
      </c>
      <c r="E45" s="1">
        <f t="shared" si="4"/>
        <v>0</v>
      </c>
    </row>
    <row r="46" spans="1:6" x14ac:dyDescent="0.25">
      <c r="A46" s="1">
        <f t="shared" si="1"/>
        <v>74</v>
      </c>
      <c r="B46" s="1">
        <f t="shared" si="2"/>
        <v>0.65951322447441896</v>
      </c>
      <c r="C46" s="1">
        <f t="shared" si="3"/>
        <v>-1.6503004391024735E-2</v>
      </c>
      <c r="D46" s="1">
        <f t="shared" si="0"/>
        <v>-4.7019226332210041E-3</v>
      </c>
      <c r="E46" s="1">
        <f t="shared" si="4"/>
        <v>0</v>
      </c>
    </row>
    <row r="47" spans="1:6" x14ac:dyDescent="0.25">
      <c r="A47" s="1">
        <f t="shared" si="1"/>
        <v>76</v>
      </c>
      <c r="B47" s="1">
        <f t="shared" si="2"/>
        <v>0.62650721569236945</v>
      </c>
      <c r="C47" s="1">
        <f t="shared" si="3"/>
        <v>-2.5906849657466743E-2</v>
      </c>
      <c r="D47" s="1">
        <f t="shared" si="0"/>
        <v>-4.1924527115803729E-3</v>
      </c>
      <c r="E47" s="1">
        <f t="shared" si="4"/>
        <v>0</v>
      </c>
    </row>
    <row r="48" spans="1:6" x14ac:dyDescent="0.25">
      <c r="A48" s="1">
        <f t="shared" si="1"/>
        <v>78</v>
      </c>
      <c r="B48" s="1">
        <f t="shared" si="2"/>
        <v>0.57469351637743593</v>
      </c>
      <c r="C48" s="1">
        <f t="shared" si="3"/>
        <v>-3.4291755080627491E-2</v>
      </c>
      <c r="D48" s="1">
        <f t="shared" si="0"/>
        <v>-3.5635903915831836E-3</v>
      </c>
      <c r="E48" s="1">
        <f t="shared" si="4"/>
        <v>0</v>
      </c>
    </row>
    <row r="49" spans="1:6" x14ac:dyDescent="0.25">
      <c r="A49" s="1">
        <f t="shared" si="1"/>
        <v>80</v>
      </c>
      <c r="B49" s="1">
        <f t="shared" si="2"/>
        <v>0.50611000621618096</v>
      </c>
      <c r="C49" s="1">
        <f t="shared" si="3"/>
        <v>-4.141893586379386E-2</v>
      </c>
      <c r="D49" s="1">
        <f t="shared" si="0"/>
        <v>-2.8376305673365361E-3</v>
      </c>
      <c r="E49" s="1">
        <f t="shared" si="4"/>
        <v>0</v>
      </c>
    </row>
    <row r="50" spans="1:6" x14ac:dyDescent="0.25">
      <c r="A50" s="1">
        <f t="shared" si="1"/>
        <v>82</v>
      </c>
      <c r="B50" s="1">
        <f t="shared" si="2"/>
        <v>0.42327213448859324</v>
      </c>
      <c r="C50" s="1">
        <f t="shared" si="3"/>
        <v>-4.7094196998466932E-2</v>
      </c>
      <c r="D50" s="1">
        <f t="shared" si="0"/>
        <v>-2.0393981694521134E-3</v>
      </c>
      <c r="E50" s="1">
        <f t="shared" si="4"/>
        <v>0</v>
      </c>
    </row>
    <row r="51" spans="1:6" x14ac:dyDescent="0.25">
      <c r="A51" s="1">
        <f t="shared" si="1"/>
        <v>84</v>
      </c>
      <c r="B51" s="1">
        <f t="shared" si="2"/>
        <v>0.32908374049165939</v>
      </c>
      <c r="C51" s="1">
        <f t="shared" si="3"/>
        <v>-5.1172993337371159E-2</v>
      </c>
      <c r="D51" s="1">
        <f t="shared" si="0"/>
        <v>-1.1954169543933958E-3</v>
      </c>
      <c r="E51" s="1">
        <f t="shared" si="4"/>
        <v>0</v>
      </c>
    </row>
    <row r="52" spans="1:6" x14ac:dyDescent="0.25">
      <c r="A52" s="1">
        <f t="shared" si="1"/>
        <v>86</v>
      </c>
      <c r="B52" s="1">
        <f t="shared" si="2"/>
        <v>0.22673775381691708</v>
      </c>
      <c r="C52" s="1">
        <f t="shared" si="3"/>
        <v>-5.356382724615795E-2</v>
      </c>
      <c r="D52" s="1">
        <f t="shared" si="0"/>
        <v>-3.3304390957492004E-4</v>
      </c>
      <c r="E52" s="1">
        <f t="shared" si="4"/>
        <v>0</v>
      </c>
    </row>
    <row r="53" spans="1:6" x14ac:dyDescent="0.25">
      <c r="A53" s="1">
        <f t="shared" si="1"/>
        <v>88</v>
      </c>
      <c r="B53" s="1">
        <f t="shared" si="2"/>
        <v>0.11961009932460118</v>
      </c>
      <c r="C53" s="1">
        <f t="shared" si="3"/>
        <v>-5.422991506530779E-2</v>
      </c>
      <c r="D53" s="1">
        <f t="shared" si="0"/>
        <v>5.2040294901835966E-4</v>
      </c>
      <c r="E53" s="1">
        <f t="shared" si="4"/>
        <v>0</v>
      </c>
    </row>
    <row r="54" spans="1:6" x14ac:dyDescent="0.25">
      <c r="A54" s="1">
        <f t="shared" si="1"/>
        <v>90</v>
      </c>
      <c r="B54" s="1">
        <f t="shared" si="2"/>
        <v>1.1150269193985596E-2</v>
      </c>
      <c r="C54" s="1">
        <f t="shared" si="3"/>
        <v>-5.318910916727107E-2</v>
      </c>
      <c r="D54" s="1">
        <f t="shared" si="0"/>
        <v>1.3384960259697771E-3</v>
      </c>
      <c r="E54" s="1">
        <f t="shared" si="4"/>
        <v>0</v>
      </c>
    </row>
    <row r="55" spans="1:6" x14ac:dyDescent="0.25">
      <c r="A55" s="1">
        <f t="shared" si="1"/>
        <v>92</v>
      </c>
      <c r="B55" s="1">
        <f t="shared" si="2"/>
        <v>-9.5227949140556545E-2</v>
      </c>
      <c r="C55" s="1">
        <f t="shared" si="3"/>
        <v>-5.0512117115331517E-2</v>
      </c>
      <c r="D55" s="1">
        <f t="shared" si="0"/>
        <v>2.0965027419872257E-3</v>
      </c>
      <c r="E55" s="1">
        <f t="shared" si="4"/>
        <v>0</v>
      </c>
    </row>
    <row r="56" spans="1:6" x14ac:dyDescent="0.25">
      <c r="A56" s="1">
        <f t="shared" si="1"/>
        <v>94</v>
      </c>
      <c r="B56" s="1">
        <f t="shared" si="2"/>
        <v>-0.19625218337121958</v>
      </c>
      <c r="C56" s="1">
        <f t="shared" si="3"/>
        <v>-4.6319111631357067E-2</v>
      </c>
      <c r="D56" s="1">
        <f t="shared" si="0"/>
        <v>2.7721192220158822E-3</v>
      </c>
      <c r="E56" s="1">
        <f t="shared" si="4"/>
        <v>0</v>
      </c>
    </row>
    <row r="57" spans="1:6" x14ac:dyDescent="0.25">
      <c r="A57" s="1">
        <f t="shared" si="1"/>
        <v>96</v>
      </c>
      <c r="B57" s="1">
        <f t="shared" si="2"/>
        <v>-0.28889040663393373</v>
      </c>
      <c r="C57" s="1">
        <f t="shared" si="3"/>
        <v>-4.0774873187325304E-2</v>
      </c>
      <c r="D57" s="1">
        <f t="shared" si="0"/>
        <v>3.3461117731650013E-3</v>
      </c>
      <c r="E57" s="1">
        <f t="shared" si="4"/>
        <v>0</v>
      </c>
    </row>
    <row r="58" spans="1:6" x14ac:dyDescent="0.25">
      <c r="A58" s="1">
        <f t="shared" si="1"/>
        <v>98</v>
      </c>
      <c r="B58" s="1">
        <f t="shared" si="2"/>
        <v>-0.37044015300858435</v>
      </c>
      <c r="C58" s="1">
        <f t="shared" si="3"/>
        <v>-3.4082649640995305E-2</v>
      </c>
      <c r="D58" s="1">
        <f t="shared" si="0"/>
        <v>3.8028482038456324E-3</v>
      </c>
      <c r="E58" s="1">
        <f t="shared" si="4"/>
        <v>0</v>
      </c>
    </row>
    <row r="59" spans="1:6" x14ac:dyDescent="0.25">
      <c r="A59" s="1">
        <f t="shared" si="1"/>
        <v>100</v>
      </c>
      <c r="B59" s="1">
        <f t="shared" si="2"/>
        <v>-0.43860545229057496</v>
      </c>
      <c r="C59" s="1">
        <f t="shared" si="3"/>
        <v>-2.647695323330404E-2</v>
      </c>
      <c r="D59" s="1">
        <f t="shared" si="0"/>
        <v>4.1307048745190325E-3</v>
      </c>
      <c r="E59" s="1">
        <f>-Push</f>
        <v>0</v>
      </c>
      <c r="F59" t="s">
        <v>9</v>
      </c>
    </row>
    <row r="60" spans="1:6" x14ac:dyDescent="0.25">
      <c r="A60" s="1">
        <f t="shared" si="1"/>
        <v>102</v>
      </c>
      <c r="B60" s="1">
        <f t="shared" si="2"/>
        <v>-0.49155935875718304</v>
      </c>
      <c r="C60" s="1">
        <f t="shared" si="3"/>
        <v>-1.8215543484265975E-2</v>
      </c>
      <c r="D60" s="1">
        <f t="shared" si="0"/>
        <v>4.3223395636843558E-3</v>
      </c>
      <c r="E60" s="1">
        <f t="shared" si="4"/>
        <v>0</v>
      </c>
    </row>
    <row r="61" spans="1:6" x14ac:dyDescent="0.25">
      <c r="A61" s="1">
        <f t="shared" si="1"/>
        <v>104</v>
      </c>
      <c r="B61" s="1">
        <f t="shared" si="2"/>
        <v>-0.52799044572571496</v>
      </c>
      <c r="C61" s="1">
        <f t="shared" si="3"/>
        <v>-9.5708643568972636E-3</v>
      </c>
      <c r="D61" s="1">
        <f t="shared" si="0"/>
        <v>4.3748246414254234E-3</v>
      </c>
      <c r="E61" s="1">
        <f t="shared" si="4"/>
        <v>0</v>
      </c>
    </row>
    <row r="62" spans="1:6" x14ac:dyDescent="0.25">
      <c r="A62" s="1">
        <f t="shared" si="1"/>
        <v>106</v>
      </c>
      <c r="B62" s="1">
        <f t="shared" si="2"/>
        <v>-0.54713217443950946</v>
      </c>
      <c r="C62" s="1">
        <f t="shared" si="3"/>
        <v>-8.2121507404641671E-4</v>
      </c>
      <c r="D62" s="1">
        <f t="shared" si="0"/>
        <v>4.2896395246126177E-3</v>
      </c>
      <c r="E62" s="1">
        <f t="shared" si="4"/>
        <v>0</v>
      </c>
    </row>
    <row r="63" spans="1:6" x14ac:dyDescent="0.25">
      <c r="A63" s="1">
        <f t="shared" si="1"/>
        <v>108</v>
      </c>
      <c r="B63" s="1">
        <f t="shared" si="2"/>
        <v>-0.5487746045876023</v>
      </c>
      <c r="C63" s="1">
        <f t="shared" si="3"/>
        <v>7.7580639751788187E-3</v>
      </c>
      <c r="D63" s="1">
        <f t="shared" si="0"/>
        <v>4.0725258012485055E-3</v>
      </c>
      <c r="E63" s="1">
        <f t="shared" si="4"/>
        <v>0</v>
      </c>
    </row>
    <row r="64" spans="1:6" x14ac:dyDescent="0.25">
      <c r="A64" s="1">
        <f t="shared" si="1"/>
        <v>110</v>
      </c>
      <c r="B64" s="1">
        <f t="shared" si="2"/>
        <v>-0.53325847663724468</v>
      </c>
      <c r="C64" s="1">
        <f t="shared" si="3"/>
        <v>1.590311557767583E-2</v>
      </c>
      <c r="D64" s="1">
        <f t="shared" si="0"/>
        <v>3.7332126202887965E-3</v>
      </c>
      <c r="E64" s="1">
        <f t="shared" si="4"/>
        <v>0</v>
      </c>
    </row>
    <row r="65" spans="1:5" x14ac:dyDescent="0.25">
      <c r="A65" s="1">
        <f t="shared" si="1"/>
        <v>112</v>
      </c>
      <c r="B65" s="1">
        <f t="shared" si="2"/>
        <v>-0.50145224548189304</v>
      </c>
      <c r="C65" s="1">
        <f t="shared" si="3"/>
        <v>2.3369540818253424E-2</v>
      </c>
      <c r="D65" s="1">
        <f t="shared" si="0"/>
        <v>3.2850238208295733E-3</v>
      </c>
      <c r="E65" s="1">
        <f t="shared" si="4"/>
        <v>0</v>
      </c>
    </row>
    <row r="66" spans="1:5" x14ac:dyDescent="0.25">
      <c r="A66" s="1">
        <f t="shared" si="1"/>
        <v>114</v>
      </c>
      <c r="B66" s="1">
        <f t="shared" si="2"/>
        <v>-0.45471316384538618</v>
      </c>
      <c r="C66" s="1">
        <f t="shared" si="3"/>
        <v>2.9939588459912569E-2</v>
      </c>
      <c r="D66" s="1">
        <f t="shared" si="0"/>
        <v>2.7443817072683556E-3</v>
      </c>
      <c r="E66" s="1">
        <f t="shared" si="4"/>
        <v>0</v>
      </c>
    </row>
    <row r="67" spans="1:5" x14ac:dyDescent="0.25">
      <c r="A67" s="1">
        <f t="shared" si="1"/>
        <v>116</v>
      </c>
      <c r="B67" s="1">
        <f t="shared" si="2"/>
        <v>-0.39483398692556104</v>
      </c>
      <c r="C67" s="1">
        <f t="shared" si="3"/>
        <v>3.5428351874449281E-2</v>
      </c>
      <c r="D67" s="1">
        <f t="shared" si="0"/>
        <v>2.1302252677841351E-3</v>
      </c>
      <c r="E67" s="1">
        <f t="shared" si="4"/>
        <v>0</v>
      </c>
    </row>
    <row r="68" spans="1:5" x14ac:dyDescent="0.25">
      <c r="A68" s="1">
        <f t="shared" si="1"/>
        <v>118</v>
      </c>
      <c r="B68" s="1">
        <f t="shared" si="2"/>
        <v>-0.32397728317666247</v>
      </c>
      <c r="C68" s="1">
        <f t="shared" si="3"/>
        <v>3.968880241001755E-2</v>
      </c>
      <c r="D68" s="1">
        <f t="shared" si="0"/>
        <v>1.4633629041894969E-3</v>
      </c>
      <c r="E68" s="1">
        <f t="shared" si="4"/>
        <v>0</v>
      </c>
    </row>
    <row r="69" spans="1:5" x14ac:dyDescent="0.25">
      <c r="A69" s="1">
        <f t="shared" si="1"/>
        <v>120</v>
      </c>
      <c r="B69" s="1">
        <f t="shared" si="2"/>
        <v>-0.24459967835662738</v>
      </c>
      <c r="C69" s="1">
        <f t="shared" si="3"/>
        <v>4.2615528218396544E-2</v>
      </c>
      <c r="D69" s="1">
        <f t="shared" si="0"/>
        <v>7.6578133492866607E-4</v>
      </c>
      <c r="E69" s="1">
        <f t="shared" si="4"/>
        <v>0</v>
      </c>
    </row>
    <row r="70" spans="1:5" x14ac:dyDescent="0.25">
      <c r="A70" s="1">
        <f t="shared" si="1"/>
        <v>122</v>
      </c>
      <c r="B70" s="1">
        <f t="shared" si="2"/>
        <v>-0.15936862191983431</v>
      </c>
      <c r="C70" s="1">
        <f t="shared" si="3"/>
        <v>4.4147090888253873E-2</v>
      </c>
      <c r="D70" s="1">
        <f t="shared" si="0"/>
        <v>5.9933215169503604E-5</v>
      </c>
      <c r="E70" s="1">
        <f t="shared" si="4"/>
        <v>0</v>
      </c>
    </row>
    <row r="71" spans="1:5" x14ac:dyDescent="0.25">
      <c r="A71" s="1">
        <f t="shared" si="1"/>
        <v>124</v>
      </c>
      <c r="B71" s="1">
        <f t="shared" si="2"/>
        <v>-7.1074440143326562E-2</v>
      </c>
      <c r="C71" s="1">
        <f t="shared" si="3"/>
        <v>4.4266957318592884E-2</v>
      </c>
      <c r="D71" s="1">
        <f t="shared" si="0"/>
        <v>-6.3197382302034228E-4</v>
      </c>
      <c r="E71" s="1">
        <f t="shared" si="4"/>
        <v>0</v>
      </c>
    </row>
    <row r="72" spans="1:5" x14ac:dyDescent="0.25">
      <c r="A72" s="1">
        <f t="shared" si="1"/>
        <v>126</v>
      </c>
      <c r="B72" s="1">
        <f t="shared" si="2"/>
        <v>1.7459474493859206E-2</v>
      </c>
      <c r="C72" s="1">
        <f t="shared" si="3"/>
        <v>4.3003009672552196E-2</v>
      </c>
      <c r="D72" s="1">
        <f t="shared" si="0"/>
        <v>-1.2886645602765007E-3</v>
      </c>
      <c r="E72" s="1">
        <f t="shared" si="4"/>
        <v>0</v>
      </c>
    </row>
    <row r="73" spans="1:5" x14ac:dyDescent="0.25">
      <c r="A73" s="1">
        <f t="shared" si="1"/>
        <v>128</v>
      </c>
      <c r="B73" s="1">
        <f t="shared" si="2"/>
        <v>0.1034654938389636</v>
      </c>
      <c r="C73" s="1">
        <f t="shared" si="3"/>
        <v>4.0425680551999195E-2</v>
      </c>
      <c r="D73" s="1">
        <f t="shared" ref="D73:D136" si="5">-k*(B73-E73)/m-(b+bb)*C73</f>
        <v>-1.8904390907374946E-3</v>
      </c>
      <c r="E73" s="1">
        <f t="shared" si="4"/>
        <v>0</v>
      </c>
    </row>
    <row r="74" spans="1:5" x14ac:dyDescent="0.25">
      <c r="A74" s="1">
        <f t="shared" ref="A74:A137" si="6">A73+dt</f>
        <v>130</v>
      </c>
      <c r="B74" s="1">
        <f t="shared" ref="B74:B137" si="7">B73+C73*dt</f>
        <v>0.18431685494296199</v>
      </c>
      <c r="C74" s="1">
        <f t="shared" ref="C74:C137" si="8">C73+D73*dt</f>
        <v>3.6644802370524206E-2</v>
      </c>
      <c r="D74" s="1">
        <f t="shared" si="5"/>
        <v>-2.4197521720851524E-3</v>
      </c>
      <c r="E74" s="1">
        <f t="shared" si="4"/>
        <v>0</v>
      </c>
    </row>
    <row r="75" spans="1:5" x14ac:dyDescent="0.25">
      <c r="A75" s="1">
        <f t="shared" si="6"/>
        <v>132</v>
      </c>
      <c r="B75" s="1">
        <f t="shared" si="7"/>
        <v>0.25760645968401041</v>
      </c>
      <c r="C75" s="1">
        <f t="shared" si="8"/>
        <v>3.1805298026353901E-2</v>
      </c>
      <c r="D75" s="1">
        <f t="shared" si="5"/>
        <v>-2.8617123726415654E-3</v>
      </c>
      <c r="E75" s="1">
        <f t="shared" ref="E75:E138" si="9">E74</f>
        <v>0</v>
      </c>
    </row>
    <row r="76" spans="1:5" x14ac:dyDescent="0.25">
      <c r="A76" s="1">
        <f t="shared" si="6"/>
        <v>134</v>
      </c>
      <c r="B76" s="1">
        <f t="shared" si="7"/>
        <v>0.32121705573671822</v>
      </c>
      <c r="C76" s="1">
        <f t="shared" si="8"/>
        <v>2.6081873281070769E-2</v>
      </c>
      <c r="D76" s="1">
        <f t="shared" si="5"/>
        <v>-3.2044872386790988E-3</v>
      </c>
      <c r="E76" s="1">
        <f t="shared" si="9"/>
        <v>0</v>
      </c>
    </row>
    <row r="77" spans="1:5" x14ac:dyDescent="0.25">
      <c r="A77" s="1">
        <f t="shared" si="6"/>
        <v>136</v>
      </c>
      <c r="B77" s="1">
        <f t="shared" si="7"/>
        <v>0.37338080229885973</v>
      </c>
      <c r="C77" s="1">
        <f t="shared" si="8"/>
        <v>1.967289880371257E-2</v>
      </c>
      <c r="D77" s="1">
        <f t="shared" si="5"/>
        <v>-3.4396039458706026E-3</v>
      </c>
      <c r="E77" s="1">
        <f t="shared" si="9"/>
        <v>0</v>
      </c>
    </row>
    <row r="78" spans="1:5" x14ac:dyDescent="0.25">
      <c r="A78" s="1">
        <f t="shared" si="6"/>
        <v>138</v>
      </c>
      <c r="B78" s="1">
        <f t="shared" si="7"/>
        <v>0.41272659990628485</v>
      </c>
      <c r="C78" s="1">
        <f t="shared" si="8"/>
        <v>1.2793690911971365E-2</v>
      </c>
      <c r="D78" s="1">
        <f t="shared" si="5"/>
        <v>-3.5621383957098541E-3</v>
      </c>
      <c r="E78" s="1">
        <f t="shared" si="9"/>
        <v>0</v>
      </c>
    </row>
    <row r="79" spans="1:5" x14ac:dyDescent="0.25">
      <c r="A79" s="1">
        <f t="shared" si="6"/>
        <v>140</v>
      </c>
      <c r="B79" s="1">
        <f t="shared" si="7"/>
        <v>0.43831398173022756</v>
      </c>
      <c r="C79" s="1">
        <f t="shared" si="8"/>
        <v>5.6694141205516566E-3</v>
      </c>
      <c r="D79" s="1">
        <f t="shared" si="5"/>
        <v>-3.5707893559265595E-3</v>
      </c>
      <c r="E79" s="1">
        <f t="shared" si="9"/>
        <v>0</v>
      </c>
    </row>
    <row r="80" spans="1:5" x14ac:dyDescent="0.25">
      <c r="A80" s="1">
        <f t="shared" si="6"/>
        <v>142</v>
      </c>
      <c r="B80" s="1">
        <f t="shared" si="7"/>
        <v>0.44965280997133089</v>
      </c>
      <c r="C80" s="1">
        <f t="shared" si="8"/>
        <v>-1.4721645913014624E-3</v>
      </c>
      <c r="D80" s="1">
        <f t="shared" si="5"/>
        <v>-3.4678379067295019E-3</v>
      </c>
      <c r="E80" s="1">
        <f t="shared" si="9"/>
        <v>0</v>
      </c>
    </row>
    <row r="81" spans="1:6" x14ac:dyDescent="0.25">
      <c r="A81" s="1">
        <f t="shared" si="6"/>
        <v>144</v>
      </c>
      <c r="B81" s="1">
        <f t="shared" si="7"/>
        <v>0.44670848078872799</v>
      </c>
      <c r="C81" s="1">
        <f t="shared" si="8"/>
        <v>-8.4078404047604662E-3</v>
      </c>
      <c r="D81" s="1">
        <f t="shared" si="5"/>
        <v>-3.2589960273044978E-3</v>
      </c>
      <c r="E81" s="1">
        <f t="shared" si="9"/>
        <v>0</v>
      </c>
    </row>
    <row r="82" spans="1:6" x14ac:dyDescent="0.25">
      <c r="A82" s="1">
        <f t="shared" si="6"/>
        <v>146</v>
      </c>
      <c r="B82" s="1">
        <f t="shared" si="7"/>
        <v>0.42989279997920704</v>
      </c>
      <c r="C82" s="1">
        <f t="shared" si="8"/>
        <v>-1.4925832459369463E-2</v>
      </c>
      <c r="D82" s="1">
        <f t="shared" si="5"/>
        <v>-2.9531515299267134E-3</v>
      </c>
      <c r="E82" s="1">
        <f t="shared" si="9"/>
        <v>0</v>
      </c>
    </row>
    <row r="83" spans="1:6" x14ac:dyDescent="0.25">
      <c r="A83" s="1">
        <f t="shared" si="6"/>
        <v>148</v>
      </c>
      <c r="B83" s="1">
        <f t="shared" si="7"/>
        <v>0.40004113506046812</v>
      </c>
      <c r="C83" s="1">
        <f t="shared" si="8"/>
        <v>-2.0832135519222889E-2</v>
      </c>
      <c r="D83" s="1">
        <f t="shared" si="5"/>
        <v>-2.5620196215564777E-3</v>
      </c>
      <c r="E83" s="1">
        <f t="shared" si="9"/>
        <v>0</v>
      </c>
    </row>
    <row r="84" spans="1:6" x14ac:dyDescent="0.25">
      <c r="A84" s="1">
        <f t="shared" si="6"/>
        <v>150</v>
      </c>
      <c r="B84" s="1">
        <f t="shared" si="7"/>
        <v>0.35837686402202235</v>
      </c>
      <c r="C84" s="1">
        <f t="shared" si="8"/>
        <v>-2.5956174762335846E-2</v>
      </c>
      <c r="D84" s="1">
        <f t="shared" si="5"/>
        <v>-2.0997140557411738E-3</v>
      </c>
      <c r="E84" s="1">
        <f>Push</f>
        <v>0</v>
      </c>
      <c r="F84" s="2" t="s">
        <v>13</v>
      </c>
    </row>
    <row r="85" spans="1:6" x14ac:dyDescent="0.25">
      <c r="A85" s="1">
        <f t="shared" si="6"/>
        <v>152</v>
      </c>
      <c r="B85" s="1">
        <f t="shared" si="7"/>
        <v>0.30646451449735068</v>
      </c>
      <c r="C85" s="1">
        <f t="shared" si="8"/>
        <v>-3.0155602873818195E-2</v>
      </c>
      <c r="D85" s="1">
        <f t="shared" si="5"/>
        <v>-1.5822530560610074E-3</v>
      </c>
      <c r="E85" s="1">
        <f t="shared" si="9"/>
        <v>0</v>
      </c>
    </row>
    <row r="86" spans="1:6" x14ac:dyDescent="0.25">
      <c r="A86" s="1">
        <f t="shared" si="6"/>
        <v>154</v>
      </c>
      <c r="B86" s="1">
        <f t="shared" si="7"/>
        <v>0.24615330874971431</v>
      </c>
      <c r="C86" s="1">
        <f t="shared" si="8"/>
        <v>-3.3320108985940212E-2</v>
      </c>
      <c r="D86" s="1">
        <f t="shared" si="5"/>
        <v>-1.0270168874245739E-3</v>
      </c>
      <c r="E86" s="1">
        <f t="shared" si="9"/>
        <v>0</v>
      </c>
    </row>
    <row r="87" spans="1:6" x14ac:dyDescent="0.25">
      <c r="A87" s="1">
        <f t="shared" si="6"/>
        <v>156</v>
      </c>
      <c r="B87" s="1">
        <f t="shared" si="7"/>
        <v>0.17951309077783389</v>
      </c>
      <c r="C87" s="1">
        <f t="shared" si="8"/>
        <v>-3.5374142760789359E-2</v>
      </c>
      <c r="D87" s="1">
        <f t="shared" si="5"/>
        <v>-4.5217508207794934E-4</v>
      </c>
      <c r="E87" s="1">
        <f t="shared" si="9"/>
        <v>0</v>
      </c>
    </row>
    <row r="88" spans="1:6" x14ac:dyDescent="0.25">
      <c r="A88" s="1">
        <f t="shared" si="6"/>
        <v>158</v>
      </c>
      <c r="B88" s="1">
        <f t="shared" si="7"/>
        <v>0.10876480525625518</v>
      </c>
      <c r="C88" s="1">
        <f t="shared" si="8"/>
        <v>-3.6278492924945255E-2</v>
      </c>
      <c r="D88" s="1">
        <f t="shared" si="5"/>
        <v>1.2389812938974263E-4</v>
      </c>
      <c r="E88" s="1">
        <f t="shared" si="9"/>
        <v>0</v>
      </c>
    </row>
    <row r="89" spans="1:6" x14ac:dyDescent="0.25">
      <c r="A89" s="1">
        <f t="shared" si="6"/>
        <v>160</v>
      </c>
      <c r="B89" s="1">
        <f t="shared" si="7"/>
        <v>3.6207819406364666E-2</v>
      </c>
      <c r="C89" s="1">
        <f t="shared" si="8"/>
        <v>-3.6030696666165769E-2</v>
      </c>
      <c r="D89" s="1">
        <f t="shared" si="5"/>
        <v>6.8320167928359826E-4</v>
      </c>
      <c r="E89" s="1">
        <f t="shared" si="9"/>
        <v>0</v>
      </c>
    </row>
    <row r="90" spans="1:6" x14ac:dyDescent="0.25">
      <c r="A90" s="1">
        <f t="shared" si="6"/>
        <v>162</v>
      </c>
      <c r="B90" s="1">
        <f t="shared" si="7"/>
        <v>-3.5853573925966872E-2</v>
      </c>
      <c r="C90" s="1">
        <f t="shared" si="8"/>
        <v>-3.466429330759857E-2</v>
      </c>
      <c r="D90" s="1">
        <f t="shared" si="5"/>
        <v>1.2086609372661834E-3</v>
      </c>
      <c r="E90" s="1">
        <f t="shared" si="9"/>
        <v>0</v>
      </c>
    </row>
    <row r="91" spans="1:6" x14ac:dyDescent="0.25">
      <c r="A91" s="1">
        <f t="shared" si="6"/>
        <v>164</v>
      </c>
      <c r="B91" s="1">
        <f t="shared" si="7"/>
        <v>-0.10518216054116401</v>
      </c>
      <c r="C91" s="1">
        <f t="shared" si="8"/>
        <v>-3.2246971433066207E-2</v>
      </c>
      <c r="D91" s="1">
        <f t="shared" si="5"/>
        <v>1.6846396866272537E-3</v>
      </c>
      <c r="E91" s="1">
        <f t="shared" si="9"/>
        <v>0</v>
      </c>
    </row>
    <row r="92" spans="1:6" x14ac:dyDescent="0.25">
      <c r="A92" s="1">
        <f t="shared" si="6"/>
        <v>166</v>
      </c>
      <c r="B92" s="1">
        <f t="shared" si="7"/>
        <v>-0.16967610340729644</v>
      </c>
      <c r="C92" s="1">
        <f t="shared" si="8"/>
        <v>-2.8877692059811701E-2</v>
      </c>
      <c r="D92" s="1">
        <f t="shared" si="5"/>
        <v>2.0973957537798659E-3</v>
      </c>
      <c r="E92" s="1">
        <f t="shared" si="9"/>
        <v>0</v>
      </c>
    </row>
    <row r="93" spans="1:6" x14ac:dyDescent="0.25">
      <c r="A93" s="1">
        <f t="shared" si="6"/>
        <v>168</v>
      </c>
      <c r="B93" s="1">
        <f t="shared" si="7"/>
        <v>-0.22743148752691983</v>
      </c>
      <c r="C93" s="1">
        <f t="shared" si="8"/>
        <v>-2.4682900552251967E-2</v>
      </c>
      <c r="D93" s="1">
        <f t="shared" si="5"/>
        <v>2.4354673375103272E-3</v>
      </c>
      <c r="E93" s="1">
        <f t="shared" si="9"/>
        <v>0</v>
      </c>
    </row>
    <row r="94" spans="1:6" x14ac:dyDescent="0.25">
      <c r="A94" s="1">
        <f t="shared" si="6"/>
        <v>170</v>
      </c>
      <c r="B94" s="1">
        <f t="shared" si="7"/>
        <v>-0.27679728863142378</v>
      </c>
      <c r="C94" s="1">
        <f t="shared" si="8"/>
        <v>-1.9811965877231313E-2</v>
      </c>
      <c r="D94" s="1">
        <f t="shared" si="5"/>
        <v>2.6899795368349045E-3</v>
      </c>
      <c r="E94" s="1">
        <f t="shared" si="9"/>
        <v>0</v>
      </c>
    </row>
    <row r="95" spans="1:6" x14ac:dyDescent="0.25">
      <c r="A95" s="1">
        <f t="shared" si="6"/>
        <v>172</v>
      </c>
      <c r="B95" s="1">
        <f t="shared" si="7"/>
        <v>-0.31642122038588638</v>
      </c>
      <c r="C95" s="1">
        <f t="shared" si="8"/>
        <v>-1.4432006803561503E-2</v>
      </c>
      <c r="D95" s="1">
        <f t="shared" si="5"/>
        <v>2.8548633013453619E-3</v>
      </c>
      <c r="E95" s="1">
        <f t="shared" si="9"/>
        <v>0</v>
      </c>
    </row>
    <row r="96" spans="1:6" x14ac:dyDescent="0.25">
      <c r="A96" s="1">
        <f t="shared" si="6"/>
        <v>174</v>
      </c>
      <c r="B96" s="1">
        <f t="shared" si="7"/>
        <v>-0.34528523399300937</v>
      </c>
      <c r="C96" s="1">
        <f t="shared" si="8"/>
        <v>-8.722280200870779E-3</v>
      </c>
      <c r="D96" s="1">
        <f t="shared" si="5"/>
        <v>2.9269819345288097E-3</v>
      </c>
      <c r="E96" s="1">
        <f t="shared" si="9"/>
        <v>0</v>
      </c>
    </row>
    <row r="97" spans="1:6" x14ac:dyDescent="0.25">
      <c r="A97" s="1">
        <f t="shared" si="6"/>
        <v>176</v>
      </c>
      <c r="B97" s="1">
        <f t="shared" si="7"/>
        <v>-0.36272979439475095</v>
      </c>
      <c r="C97" s="1">
        <f t="shared" si="8"/>
        <v>-2.8683163318131595E-3</v>
      </c>
      <c r="D97" s="1">
        <f t="shared" si="5"/>
        <v>2.9061632739716499E-3</v>
      </c>
      <c r="E97" s="1">
        <f t="shared" si="9"/>
        <v>0</v>
      </c>
    </row>
    <row r="98" spans="1:6" x14ac:dyDescent="0.25">
      <c r="A98" s="1">
        <f t="shared" si="6"/>
        <v>178</v>
      </c>
      <c r="B98" s="1">
        <f t="shared" si="7"/>
        <v>-0.36846642705837729</v>
      </c>
      <c r="C98" s="1">
        <f t="shared" si="8"/>
        <v>2.9440102161301402E-3</v>
      </c>
      <c r="D98" s="1">
        <f t="shared" si="5"/>
        <v>2.7951386572630547E-3</v>
      </c>
      <c r="E98" s="1">
        <f t="shared" si="9"/>
        <v>0</v>
      </c>
    </row>
    <row r="99" spans="1:6" x14ac:dyDescent="0.25">
      <c r="A99" s="1">
        <f t="shared" si="6"/>
        <v>180</v>
      </c>
      <c r="B99" s="1">
        <f t="shared" si="7"/>
        <v>-0.36257840662611701</v>
      </c>
      <c r="C99" s="1">
        <f t="shared" si="8"/>
        <v>8.5342875306562496E-3</v>
      </c>
      <c r="D99" s="1">
        <f t="shared" si="5"/>
        <v>2.5993926658621248E-3</v>
      </c>
      <c r="E99" s="1">
        <f t="shared" si="9"/>
        <v>0</v>
      </c>
    </row>
    <row r="100" spans="1:6" x14ac:dyDescent="0.25">
      <c r="A100" s="1">
        <f t="shared" si="6"/>
        <v>182</v>
      </c>
      <c r="B100" s="1">
        <f t="shared" si="7"/>
        <v>-0.34550983156480453</v>
      </c>
      <c r="C100" s="1">
        <f t="shared" si="8"/>
        <v>1.3733072862380499E-2</v>
      </c>
      <c r="D100" s="1">
        <f t="shared" si="5"/>
        <v>2.3269303334936776E-3</v>
      </c>
      <c r="E100" s="1">
        <f t="shared" si="9"/>
        <v>0</v>
      </c>
    </row>
    <row r="101" spans="1:6" x14ac:dyDescent="0.25">
      <c r="A101" s="1">
        <f t="shared" si="6"/>
        <v>184</v>
      </c>
      <c r="B101" s="1">
        <f t="shared" si="7"/>
        <v>-0.3180436858400435</v>
      </c>
      <c r="C101" s="1">
        <f t="shared" si="8"/>
        <v>1.8386933529367856E-2</v>
      </c>
      <c r="D101" s="1">
        <f t="shared" si="5"/>
        <v>1.9879709309652805E-3</v>
      </c>
      <c r="E101" s="1">
        <f t="shared" si="9"/>
        <v>0</v>
      </c>
    </row>
    <row r="102" spans="1:6" x14ac:dyDescent="0.25">
      <c r="A102" s="1">
        <f t="shared" si="6"/>
        <v>186</v>
      </c>
      <c r="B102" s="1">
        <f t="shared" si="7"/>
        <v>-0.2812698187813078</v>
      </c>
      <c r="C102" s="1">
        <f t="shared" si="8"/>
        <v>2.2362875391298418E-2</v>
      </c>
      <c r="D102" s="1">
        <f t="shared" si="5"/>
        <v>1.5945795260074033E-3</v>
      </c>
      <c r="E102" s="1">
        <f t="shared" si="9"/>
        <v>0</v>
      </c>
    </row>
    <row r="103" spans="1:6" x14ac:dyDescent="0.25">
      <c r="A103" s="1">
        <f t="shared" si="6"/>
        <v>188</v>
      </c>
      <c r="B103" s="1">
        <f t="shared" si="7"/>
        <v>-0.23654406799871097</v>
      </c>
      <c r="C103" s="1">
        <f t="shared" si="8"/>
        <v>2.5552034443313224E-2</v>
      </c>
      <c r="D103" s="1">
        <f t="shared" si="5"/>
        <v>1.1602492073091511E-3</v>
      </c>
      <c r="E103" s="1">
        <f t="shared" si="9"/>
        <v>0</v>
      </c>
    </row>
    <row r="104" spans="1:6" x14ac:dyDescent="0.25">
      <c r="A104" s="1">
        <f t="shared" si="6"/>
        <v>190</v>
      </c>
      <c r="B104" s="1">
        <f t="shared" si="7"/>
        <v>-0.18543999911208453</v>
      </c>
      <c r="C104" s="1">
        <f t="shared" si="8"/>
        <v>2.7872532857931526E-2</v>
      </c>
      <c r="D104" s="1">
        <f t="shared" si="5"/>
        <v>6.994481124816944E-4</v>
      </c>
      <c r="E104" s="1">
        <f t="shared" si="9"/>
        <v>0</v>
      </c>
    </row>
    <row r="105" spans="1:6" x14ac:dyDescent="0.25">
      <c r="A105" s="1">
        <f t="shared" si="6"/>
        <v>192</v>
      </c>
      <c r="B105" s="1">
        <f t="shared" si="7"/>
        <v>-0.12969493339622148</v>
      </c>
      <c r="C105" s="1">
        <f t="shared" si="8"/>
        <v>2.9271429082894915E-2</v>
      </c>
      <c r="D105" s="1">
        <f t="shared" si="5"/>
        <v>2.2714618106894381E-4</v>
      </c>
      <c r="E105" s="1">
        <f t="shared" si="9"/>
        <v>0</v>
      </c>
    </row>
    <row r="106" spans="1:6" x14ac:dyDescent="0.25">
      <c r="A106" s="1">
        <f t="shared" si="6"/>
        <v>194</v>
      </c>
      <c r="B106" s="1">
        <f t="shared" si="7"/>
        <v>-7.1152075230431655E-2</v>
      </c>
      <c r="C106" s="1">
        <f t="shared" si="8"/>
        <v>2.9725721445032802E-2</v>
      </c>
      <c r="D106" s="1">
        <f t="shared" si="5"/>
        <v>-2.4166314792951221E-4</v>
      </c>
      <c r="E106" s="1">
        <f t="shared" si="9"/>
        <v>0</v>
      </c>
    </row>
    <row r="107" spans="1:6" x14ac:dyDescent="0.25">
      <c r="A107" s="1">
        <f t="shared" si="6"/>
        <v>196</v>
      </c>
      <c r="B107" s="1">
        <f t="shared" si="7"/>
        <v>-1.170063234036605E-2</v>
      </c>
      <c r="C107" s="1">
        <f t="shared" si="8"/>
        <v>2.9242395149173778E-2</v>
      </c>
      <c r="D107" s="1">
        <f t="shared" si="5"/>
        <v>-6.9243125774300204E-4</v>
      </c>
      <c r="E107" s="1">
        <f t="shared" si="9"/>
        <v>0</v>
      </c>
    </row>
    <row r="108" spans="1:6" x14ac:dyDescent="0.25">
      <c r="A108" s="1">
        <f t="shared" si="6"/>
        <v>198</v>
      </c>
      <c r="B108" s="1">
        <f t="shared" si="7"/>
        <v>4.6784157957981506E-2</v>
      </c>
      <c r="C108" s="1">
        <f t="shared" si="8"/>
        <v>2.7857532633687773E-2</v>
      </c>
      <c r="D108" s="1">
        <f t="shared" si="5"/>
        <v>-1.1114983066550881E-3</v>
      </c>
      <c r="E108" s="1">
        <f t="shared" si="9"/>
        <v>0</v>
      </c>
    </row>
    <row r="109" spans="1:6" x14ac:dyDescent="0.25">
      <c r="A109" s="1">
        <f t="shared" si="6"/>
        <v>200</v>
      </c>
      <c r="B109" s="1">
        <f t="shared" si="7"/>
        <v>0.10249922322535705</v>
      </c>
      <c r="C109" s="1">
        <f t="shared" si="8"/>
        <v>2.5634536020377598E-2</v>
      </c>
      <c r="D109" s="1">
        <f t="shared" si="5"/>
        <v>-1.4864995065039044E-3</v>
      </c>
      <c r="E109" s="1">
        <f>-Push</f>
        <v>0</v>
      </c>
      <c r="F109" t="s">
        <v>14</v>
      </c>
    </row>
    <row r="110" spans="1:6" x14ac:dyDescent="0.25">
      <c r="A110" s="1">
        <f t="shared" si="6"/>
        <v>202</v>
      </c>
      <c r="B110" s="1">
        <f t="shared" si="7"/>
        <v>0.15376829526611224</v>
      </c>
      <c r="C110" s="1">
        <f t="shared" si="8"/>
        <v>2.2661537007369788E-2</v>
      </c>
      <c r="D110" s="1">
        <f t="shared" si="5"/>
        <v>-1.8067218948731858E-3</v>
      </c>
      <c r="E110" s="1">
        <f t="shared" si="9"/>
        <v>0</v>
      </c>
    </row>
    <row r="111" spans="1:6" x14ac:dyDescent="0.25">
      <c r="A111" s="1">
        <f t="shared" si="6"/>
        <v>204</v>
      </c>
      <c r="B111" s="1">
        <f t="shared" si="7"/>
        <v>0.1990913692808518</v>
      </c>
      <c r="C111" s="1">
        <f t="shared" si="8"/>
        <v>1.9048093217623414E-2</v>
      </c>
      <c r="D111" s="1">
        <f t="shared" si="5"/>
        <v>-2.0634015786229515E-3</v>
      </c>
      <c r="E111" s="1">
        <f t="shared" si="9"/>
        <v>0</v>
      </c>
    </row>
    <row r="112" spans="1:6" x14ac:dyDescent="0.25">
      <c r="A112" s="1">
        <f t="shared" si="6"/>
        <v>206</v>
      </c>
      <c r="B112" s="1">
        <f t="shared" si="7"/>
        <v>0.23718755571609862</v>
      </c>
      <c r="C112" s="1">
        <f t="shared" si="8"/>
        <v>1.4921290060377512E-2</v>
      </c>
      <c r="D112" s="1">
        <f t="shared" si="5"/>
        <v>-2.2499535082036864E-3</v>
      </c>
      <c r="E112" s="1">
        <f t="shared" si="9"/>
        <v>0</v>
      </c>
    </row>
    <row r="113" spans="1:5" x14ac:dyDescent="0.25">
      <c r="A113" s="1">
        <f t="shared" si="6"/>
        <v>208</v>
      </c>
      <c r="B113" s="1">
        <f t="shared" si="7"/>
        <v>0.26703013583685364</v>
      </c>
      <c r="C113" s="1">
        <f t="shared" si="8"/>
        <v>1.0421383043970139E-2</v>
      </c>
      <c r="D113" s="1">
        <f t="shared" si="5"/>
        <v>-2.3621281251058582E-3</v>
      </c>
      <c r="E113" s="1">
        <f t="shared" si="9"/>
        <v>0</v>
      </c>
    </row>
    <row r="114" spans="1:5" x14ac:dyDescent="0.25">
      <c r="A114" s="1">
        <f t="shared" si="6"/>
        <v>210</v>
      </c>
      <c r="B114" s="1">
        <f t="shared" si="7"/>
        <v>0.28787290192479392</v>
      </c>
      <c r="C114" s="1">
        <f t="shared" si="8"/>
        <v>5.697126793758423E-3</v>
      </c>
      <c r="D114" s="1">
        <f t="shared" si="5"/>
        <v>-2.3980916330861184E-3</v>
      </c>
      <c r="E114" s="1">
        <f t="shared" si="9"/>
        <v>0</v>
      </c>
    </row>
    <row r="115" spans="1:5" x14ac:dyDescent="0.25">
      <c r="A115" s="1">
        <f t="shared" si="6"/>
        <v>212</v>
      </c>
      <c r="B115" s="1">
        <f t="shared" si="7"/>
        <v>0.29926715551231076</v>
      </c>
      <c r="C115" s="1">
        <f t="shared" si="8"/>
        <v>9.0094352758618608E-4</v>
      </c>
      <c r="D115" s="1">
        <f t="shared" si="5"/>
        <v>-2.3584290995353335E-3</v>
      </c>
      <c r="E115" s="1">
        <f t="shared" si="9"/>
        <v>0</v>
      </c>
    </row>
    <row r="116" spans="1:5" x14ac:dyDescent="0.25">
      <c r="A116" s="1">
        <f t="shared" si="6"/>
        <v>214</v>
      </c>
      <c r="B116" s="1">
        <f t="shared" si="7"/>
        <v>0.30106904256748312</v>
      </c>
      <c r="C116" s="1">
        <f t="shared" si="8"/>
        <v>-3.815914671484481E-3</v>
      </c>
      <c r="D116" s="1">
        <f t="shared" si="5"/>
        <v>-2.2460720188305842E-3</v>
      </c>
      <c r="E116" s="1">
        <f t="shared" si="9"/>
        <v>0</v>
      </c>
    </row>
    <row r="117" spans="1:5" x14ac:dyDescent="0.25">
      <c r="A117" s="1">
        <f t="shared" si="6"/>
        <v>216</v>
      </c>
      <c r="B117" s="1">
        <f t="shared" si="7"/>
        <v>0.29343721322451416</v>
      </c>
      <c r="C117" s="1">
        <f t="shared" si="8"/>
        <v>-8.3080587091456486E-3</v>
      </c>
      <c r="D117" s="1">
        <f t="shared" si="5"/>
        <v>-2.066154289746107E-3</v>
      </c>
      <c r="E117" s="1">
        <f t="shared" si="9"/>
        <v>0</v>
      </c>
    </row>
    <row r="118" spans="1:5" x14ac:dyDescent="0.25">
      <c r="A118" s="1">
        <f t="shared" si="6"/>
        <v>218</v>
      </c>
      <c r="B118" s="1">
        <f t="shared" si="7"/>
        <v>0.27682109580622288</v>
      </c>
      <c r="C118" s="1">
        <f t="shared" si="8"/>
        <v>-1.2440367288637863E-2</v>
      </c>
      <c r="D118" s="1">
        <f t="shared" si="5"/>
        <v>-1.8258027039530435E-3</v>
      </c>
      <c r="E118" s="1">
        <f t="shared" si="9"/>
        <v>0</v>
      </c>
    </row>
    <row r="119" spans="1:5" x14ac:dyDescent="0.25">
      <c r="A119" s="1">
        <f t="shared" si="6"/>
        <v>220</v>
      </c>
      <c r="B119" s="1">
        <f t="shared" si="7"/>
        <v>0.25194036122894714</v>
      </c>
      <c r="C119" s="1">
        <f t="shared" si="8"/>
        <v>-1.6091972696543951E-2</v>
      </c>
      <c r="D119" s="1">
        <f t="shared" si="5"/>
        <v>-1.5338699493184097E-3</v>
      </c>
      <c r="E119" s="1">
        <f t="shared" si="9"/>
        <v>0</v>
      </c>
    </row>
    <row r="120" spans="1:5" x14ac:dyDescent="0.25">
      <c r="A120" s="1">
        <f t="shared" si="6"/>
        <v>222</v>
      </c>
      <c r="B120" s="1">
        <f t="shared" si="7"/>
        <v>0.21975641583585925</v>
      </c>
      <c r="C120" s="1">
        <f t="shared" si="8"/>
        <v>-1.9159712595180768E-2</v>
      </c>
      <c r="D120" s="1">
        <f t="shared" si="5"/>
        <v>-1.2006197459688574E-3</v>
      </c>
      <c r="E120" s="1">
        <f t="shared" si="9"/>
        <v>0</v>
      </c>
    </row>
    <row r="121" spans="1:5" x14ac:dyDescent="0.25">
      <c r="A121" s="1">
        <f t="shared" si="6"/>
        <v>224</v>
      </c>
      <c r="B121" s="1">
        <f t="shared" si="7"/>
        <v>0.18143699064549773</v>
      </c>
      <c r="C121" s="1">
        <f t="shared" si="8"/>
        <v>-2.1560952087118484E-2</v>
      </c>
      <c r="D121" s="1">
        <f t="shared" si="5"/>
        <v>-8.3737501110010674E-4</v>
      </c>
      <c r="E121" s="1">
        <f t="shared" si="9"/>
        <v>0</v>
      </c>
    </row>
    <row r="122" spans="1:5" x14ac:dyDescent="0.25">
      <c r="A122" s="1">
        <f t="shared" si="6"/>
        <v>226</v>
      </c>
      <c r="B122" s="1">
        <f t="shared" si="7"/>
        <v>0.13831508647126076</v>
      </c>
      <c r="C122" s="1">
        <f t="shared" si="8"/>
        <v>-2.3235702109318697E-2</v>
      </c>
      <c r="D122" s="1">
        <f t="shared" si="5"/>
        <v>-4.561408579460927E-4</v>
      </c>
      <c r="E122" s="1">
        <f t="shared" si="9"/>
        <v>0</v>
      </c>
    </row>
    <row r="123" spans="1:5" x14ac:dyDescent="0.25">
      <c r="A123" s="1">
        <f t="shared" si="6"/>
        <v>228</v>
      </c>
      <c r="B123" s="1">
        <f t="shared" si="7"/>
        <v>9.1843682252623363E-2</v>
      </c>
      <c r="C123" s="1">
        <f t="shared" si="8"/>
        <v>-2.4147983825210884E-2</v>
      </c>
      <c r="D123" s="1">
        <f t="shared" si="5"/>
        <v>-6.921475505481051E-5</v>
      </c>
      <c r="E123" s="1">
        <f t="shared" si="9"/>
        <v>0</v>
      </c>
    </row>
    <row r="124" spans="1:5" x14ac:dyDescent="0.25">
      <c r="A124" s="1">
        <f t="shared" si="6"/>
        <v>230</v>
      </c>
      <c r="B124" s="1">
        <f t="shared" si="7"/>
        <v>4.3547714602201595E-2</v>
      </c>
      <c r="C124" s="1">
        <f t="shared" si="8"/>
        <v>-2.4286413335320504E-2</v>
      </c>
      <c r="D124" s="1">
        <f t="shared" si="5"/>
        <v>3.1120370348941713E-4</v>
      </c>
      <c r="E124" s="1">
        <f t="shared" si="9"/>
        <v>0</v>
      </c>
    </row>
    <row r="125" spans="1:5" x14ac:dyDescent="0.25">
      <c r="A125" s="1">
        <f t="shared" si="6"/>
        <v>232</v>
      </c>
      <c r="B125" s="1">
        <f t="shared" si="7"/>
        <v>-5.0251120684394121E-3</v>
      </c>
      <c r="C125" s="1">
        <f t="shared" si="8"/>
        <v>-2.3664005928341669E-2</v>
      </c>
      <c r="D125" s="1">
        <f t="shared" si="5"/>
        <v>6.7339123301338416E-4</v>
      </c>
      <c r="E125" s="1">
        <f t="shared" si="9"/>
        <v>0</v>
      </c>
    </row>
    <row r="126" spans="1:5" x14ac:dyDescent="0.25">
      <c r="A126" s="1">
        <f t="shared" si="6"/>
        <v>234</v>
      </c>
      <c r="B126" s="1">
        <f t="shared" si="7"/>
        <v>-5.2353123925122751E-2</v>
      </c>
      <c r="C126" s="1">
        <f t="shared" si="8"/>
        <v>-2.2317223462314902E-2</v>
      </c>
      <c r="D126" s="1">
        <f t="shared" si="5"/>
        <v>1.0064559554059968E-3</v>
      </c>
      <c r="E126" s="1">
        <f t="shared" si="9"/>
        <v>0</v>
      </c>
    </row>
    <row r="127" spans="1:5" x14ac:dyDescent="0.25">
      <c r="A127" s="1">
        <f t="shared" si="6"/>
        <v>236</v>
      </c>
      <c r="B127" s="1">
        <f t="shared" si="7"/>
        <v>-9.6987570849752555E-2</v>
      </c>
      <c r="C127" s="1">
        <f t="shared" si="8"/>
        <v>-2.0304311551502908E-2</v>
      </c>
      <c r="D127" s="1">
        <f t="shared" si="5"/>
        <v>1.300658602208348E-3</v>
      </c>
      <c r="E127" s="1">
        <f t="shared" si="9"/>
        <v>0</v>
      </c>
    </row>
    <row r="128" spans="1:5" x14ac:dyDescent="0.25">
      <c r="A128" s="1">
        <f t="shared" si="6"/>
        <v>238</v>
      </c>
      <c r="B128" s="1">
        <f t="shared" si="7"/>
        <v>-0.13759619395275838</v>
      </c>
      <c r="C128" s="1">
        <f t="shared" si="8"/>
        <v>-1.7702994347086214E-2</v>
      </c>
      <c r="D128" s="1">
        <f t="shared" si="5"/>
        <v>1.5476905613334257E-3</v>
      </c>
      <c r="E128" s="1">
        <f t="shared" si="9"/>
        <v>0</v>
      </c>
    </row>
    <row r="129" spans="1:6" x14ac:dyDescent="0.25">
      <c r="A129" s="1">
        <f t="shared" si="6"/>
        <v>240</v>
      </c>
      <c r="B129" s="1">
        <f t="shared" si="7"/>
        <v>-0.17300218264693079</v>
      </c>
      <c r="C129" s="1">
        <f t="shared" si="8"/>
        <v>-1.4607613224419362E-2</v>
      </c>
      <c r="D129" s="1">
        <f t="shared" si="5"/>
        <v>1.7409010590604989E-3</v>
      </c>
      <c r="E129" s="1">
        <f t="shared" si="9"/>
        <v>0</v>
      </c>
    </row>
    <row r="130" spans="1:6" x14ac:dyDescent="0.25">
      <c r="A130" s="1">
        <f t="shared" si="6"/>
        <v>242</v>
      </c>
      <c r="B130" s="1">
        <f t="shared" si="7"/>
        <v>-0.20221740909576952</v>
      </c>
      <c r="C130" s="1">
        <f t="shared" si="8"/>
        <v>-1.1125811106298364E-2</v>
      </c>
      <c r="D130" s="1">
        <f t="shared" si="5"/>
        <v>1.8754675285957982E-3</v>
      </c>
      <c r="E130" s="1">
        <f t="shared" si="9"/>
        <v>0</v>
      </c>
    </row>
    <row r="131" spans="1:6" x14ac:dyDescent="0.25">
      <c r="A131" s="1">
        <f t="shared" si="6"/>
        <v>244</v>
      </c>
      <c r="B131" s="1">
        <f t="shared" si="7"/>
        <v>-0.22446903130836623</v>
      </c>
      <c r="C131" s="1">
        <f t="shared" si="8"/>
        <v>-7.3748760491067671E-3</v>
      </c>
      <c r="D131" s="1">
        <f t="shared" si="5"/>
        <v>1.9485051223213179E-3</v>
      </c>
      <c r="E131" s="1">
        <f t="shared" si="9"/>
        <v>0</v>
      </c>
    </row>
    <row r="132" spans="1:6" x14ac:dyDescent="0.25">
      <c r="A132" s="1">
        <f t="shared" si="6"/>
        <v>246</v>
      </c>
      <c r="B132" s="1">
        <f t="shared" si="7"/>
        <v>-0.23921878340657976</v>
      </c>
      <c r="C132" s="1">
        <f t="shared" si="8"/>
        <v>-3.4778658044641313E-3</v>
      </c>
      <c r="D132" s="1">
        <f t="shared" si="5"/>
        <v>1.959113314130961E-3</v>
      </c>
      <c r="E132" s="1">
        <f t="shared" si="9"/>
        <v>0</v>
      </c>
    </row>
    <row r="133" spans="1:6" x14ac:dyDescent="0.25">
      <c r="A133" s="1">
        <f t="shared" si="6"/>
        <v>248</v>
      </c>
      <c r="B133" s="1">
        <f t="shared" si="7"/>
        <v>-0.24617451501550802</v>
      </c>
      <c r="C133" s="1">
        <f t="shared" si="8"/>
        <v>4.4036082379779072E-4</v>
      </c>
      <c r="D133" s="1">
        <f t="shared" si="5"/>
        <v>1.9083595470431817E-3</v>
      </c>
      <c r="E133" s="1">
        <f t="shared" si="9"/>
        <v>0</v>
      </c>
    </row>
    <row r="134" spans="1:6" x14ac:dyDescent="0.25">
      <c r="A134" s="1">
        <f t="shared" si="6"/>
        <v>250</v>
      </c>
      <c r="B134" s="1">
        <f t="shared" si="7"/>
        <v>-0.24529379336791243</v>
      </c>
      <c r="C134" s="1">
        <f t="shared" si="8"/>
        <v>4.2570799178841545E-3</v>
      </c>
      <c r="D134" s="1">
        <f t="shared" si="5"/>
        <v>1.7992018464704216E-3</v>
      </c>
      <c r="E134" s="1">
        <f>Push</f>
        <v>0</v>
      </c>
      <c r="F134" t="s">
        <v>15</v>
      </c>
    </row>
    <row r="135" spans="1:6" x14ac:dyDescent="0.25">
      <c r="A135" s="1">
        <f t="shared" si="6"/>
        <v>252</v>
      </c>
      <c r="B135" s="1">
        <f t="shared" si="7"/>
        <v>-0.23677963353214412</v>
      </c>
      <c r="C135" s="1">
        <f t="shared" si="8"/>
        <v>7.8554836108249981E-3</v>
      </c>
      <c r="D135" s="1">
        <f t="shared" si="5"/>
        <v>1.6363541807806142E-3</v>
      </c>
      <c r="E135" s="1">
        <f t="shared" si="9"/>
        <v>0</v>
      </c>
    </row>
    <row r="136" spans="1:6" x14ac:dyDescent="0.25">
      <c r="A136" s="1">
        <f t="shared" si="6"/>
        <v>254</v>
      </c>
      <c r="B136" s="1">
        <f t="shared" si="7"/>
        <v>-0.22106866631049413</v>
      </c>
      <c r="C136" s="1">
        <f t="shared" si="8"/>
        <v>1.1128191972386226E-2</v>
      </c>
      <c r="D136" s="1">
        <f t="shared" si="5"/>
        <v>1.426100052361903E-3</v>
      </c>
      <c r="E136" s="1">
        <f t="shared" si="9"/>
        <v>0</v>
      </c>
    </row>
    <row r="137" spans="1:6" x14ac:dyDescent="0.25">
      <c r="A137" s="1">
        <f t="shared" si="6"/>
        <v>256</v>
      </c>
      <c r="B137" s="1">
        <f t="shared" si="7"/>
        <v>-0.19881228236572168</v>
      </c>
      <c r="C137" s="1">
        <f t="shared" si="8"/>
        <v>1.3980392077110031E-2</v>
      </c>
      <c r="D137" s="1">
        <f t="shared" ref="D137:D200" si="10">-k*(B137-E137)/m-(b+bb)*C137</f>
        <v>1.17606129478608E-3</v>
      </c>
      <c r="E137" s="1">
        <f t="shared" si="9"/>
        <v>0</v>
      </c>
    </row>
    <row r="138" spans="1:6" x14ac:dyDescent="0.25">
      <c r="A138" s="1">
        <f t="shared" ref="A138:A201" si="11">A137+dt</f>
        <v>258</v>
      </c>
      <c r="B138" s="1">
        <f t="shared" ref="B138:B201" si="12">B137+C137*dt</f>
        <v>-0.17085149821150161</v>
      </c>
      <c r="C138" s="1">
        <f t="shared" ref="C138:C201" si="13">C137+D137*dt</f>
        <v>1.6332514666682191E-2</v>
      </c>
      <c r="D138" s="1">
        <f t="shared" si="10"/>
        <v>8.9493029298262985E-4</v>
      </c>
      <c r="E138" s="1">
        <f t="shared" si="9"/>
        <v>0</v>
      </c>
    </row>
    <row r="139" spans="1:6" x14ac:dyDescent="0.25">
      <c r="A139" s="1">
        <f t="shared" si="11"/>
        <v>260</v>
      </c>
      <c r="B139" s="1">
        <f t="shared" si="12"/>
        <v>-0.13818646887813724</v>
      </c>
      <c r="C139" s="1">
        <f t="shared" si="13"/>
        <v>1.8122375252647451E-2</v>
      </c>
      <c r="D139" s="1">
        <f t="shared" si="10"/>
        <v>5.9217480047851854E-4</v>
      </c>
      <c r="E139" s="1">
        <f t="shared" ref="E139:E202" si="14">E138</f>
        <v>0</v>
      </c>
    </row>
    <row r="140" spans="1:6" x14ac:dyDescent="0.25">
      <c r="A140" s="1">
        <f t="shared" si="11"/>
        <v>262</v>
      </c>
      <c r="B140" s="1">
        <f t="shared" si="12"/>
        <v>-0.10194171837284233</v>
      </c>
      <c r="C140" s="1">
        <f t="shared" si="13"/>
        <v>1.930672485360449E-2</v>
      </c>
      <c r="D140" s="1">
        <f t="shared" si="10"/>
        <v>2.7772517723156974E-4</v>
      </c>
      <c r="E140" s="1">
        <f t="shared" si="14"/>
        <v>0</v>
      </c>
    </row>
    <row r="141" spans="1:6" x14ac:dyDescent="0.25">
      <c r="A141" s="1">
        <f t="shared" si="11"/>
        <v>264</v>
      </c>
      <c r="B141" s="1">
        <f t="shared" si="12"/>
        <v>-6.3328268665633347E-2</v>
      </c>
      <c r="C141" s="1">
        <f t="shared" si="13"/>
        <v>1.9862175208067628E-2</v>
      </c>
      <c r="D141" s="1">
        <f t="shared" si="10"/>
        <v>-3.8345799984272361E-5</v>
      </c>
      <c r="E141" s="1">
        <f t="shared" si="14"/>
        <v>0</v>
      </c>
    </row>
    <row r="142" spans="1:6" x14ac:dyDescent="0.25">
      <c r="A142" s="1">
        <f t="shared" si="11"/>
        <v>266</v>
      </c>
      <c r="B142" s="1">
        <f t="shared" si="12"/>
        <v>-2.360391824949809E-2</v>
      </c>
      <c r="C142" s="1">
        <f t="shared" si="13"/>
        <v>1.9785483608099085E-2</v>
      </c>
      <c r="D142" s="1">
        <f t="shared" si="10"/>
        <v>-3.4614039835097036E-4</v>
      </c>
      <c r="E142" s="1">
        <f t="shared" si="14"/>
        <v>0</v>
      </c>
    </row>
    <row r="143" spans="1:6" x14ac:dyDescent="0.25">
      <c r="A143" s="1">
        <f t="shared" si="11"/>
        <v>268</v>
      </c>
      <c r="B143" s="1">
        <f t="shared" si="12"/>
        <v>1.5967048966700079E-2</v>
      </c>
      <c r="C143" s="1">
        <f t="shared" si="13"/>
        <v>1.9093202811397144E-2</v>
      </c>
      <c r="D143" s="1">
        <f t="shared" si="10"/>
        <v>-6.3624081728570411E-4</v>
      </c>
      <c r="E143" s="1">
        <f t="shared" si="14"/>
        <v>0</v>
      </c>
    </row>
    <row r="144" spans="1:6" x14ac:dyDescent="0.25">
      <c r="A144" s="1">
        <f t="shared" si="11"/>
        <v>270</v>
      </c>
      <c r="B144" s="1">
        <f t="shared" si="12"/>
        <v>5.4153454589494367E-2</v>
      </c>
      <c r="C144" s="1">
        <f t="shared" si="13"/>
        <v>1.7820721176825736E-2</v>
      </c>
      <c r="D144" s="1">
        <f t="shared" si="10"/>
        <v>-8.9999227333698571E-4</v>
      </c>
      <c r="E144" s="1">
        <f t="shared" si="14"/>
        <v>0</v>
      </c>
    </row>
    <row r="145" spans="1:6" x14ac:dyDescent="0.25">
      <c r="A145" s="1">
        <f t="shared" si="11"/>
        <v>272</v>
      </c>
      <c r="B145" s="1">
        <f t="shared" si="12"/>
        <v>8.9794896943145838E-2</v>
      </c>
      <c r="C145" s="1">
        <f t="shared" si="13"/>
        <v>1.6020736630151765E-2</v>
      </c>
      <c r="D145" s="1">
        <f t="shared" si="10"/>
        <v>-1.1297559378446048E-3</v>
      </c>
      <c r="E145" s="1">
        <f t="shared" si="14"/>
        <v>0</v>
      </c>
    </row>
    <row r="146" spans="1:6" x14ac:dyDescent="0.25">
      <c r="A146" s="1">
        <f t="shared" si="11"/>
        <v>274</v>
      </c>
      <c r="B146" s="1">
        <f t="shared" si="12"/>
        <v>0.12183637020344937</v>
      </c>
      <c r="C146" s="1">
        <f t="shared" si="13"/>
        <v>1.3761224754462556E-2</v>
      </c>
      <c r="D146" s="1">
        <f t="shared" si="10"/>
        <v>-1.3191245110065015E-3</v>
      </c>
      <c r="E146" s="1">
        <f t="shared" si="14"/>
        <v>0</v>
      </c>
    </row>
    <row r="147" spans="1:6" x14ac:dyDescent="0.25">
      <c r="A147" s="1">
        <f t="shared" si="11"/>
        <v>276</v>
      </c>
      <c r="B147" s="1">
        <f t="shared" si="12"/>
        <v>0.14935881971237447</v>
      </c>
      <c r="C147" s="1">
        <f t="shared" si="13"/>
        <v>1.1122975732449553E-2</v>
      </c>
      <c r="D147" s="1">
        <f t="shared" si="10"/>
        <v>-1.4630945433861688E-3</v>
      </c>
      <c r="E147" s="1">
        <f t="shared" si="14"/>
        <v>0</v>
      </c>
    </row>
    <row r="148" spans="1:6" x14ac:dyDescent="0.25">
      <c r="A148" s="1">
        <f t="shared" si="11"/>
        <v>278</v>
      </c>
      <c r="B148" s="1">
        <f t="shared" si="12"/>
        <v>0.17160477117727357</v>
      </c>
      <c r="C148" s="1">
        <f t="shared" si="13"/>
        <v>8.1967866456772141E-3</v>
      </c>
      <c r="D148" s="1">
        <f t="shared" si="10"/>
        <v>-1.5581910972868832E-3</v>
      </c>
      <c r="E148" s="1">
        <f t="shared" si="14"/>
        <v>0</v>
      </c>
    </row>
    <row r="149" spans="1:6" x14ac:dyDescent="0.25">
      <c r="A149" s="1">
        <f t="shared" si="11"/>
        <v>280</v>
      </c>
      <c r="B149" s="1">
        <f t="shared" si="12"/>
        <v>0.18799834446862801</v>
      </c>
      <c r="C149" s="1">
        <f t="shared" si="13"/>
        <v>5.0804044511034482E-3</v>
      </c>
      <c r="D149" s="1">
        <f t="shared" si="10"/>
        <v>-1.6025419261448707E-3</v>
      </c>
      <c r="E149" s="1">
        <f t="shared" si="14"/>
        <v>0</v>
      </c>
    </row>
    <row r="150" spans="1:6" x14ac:dyDescent="0.25">
      <c r="A150" s="1">
        <f t="shared" si="11"/>
        <v>282</v>
      </c>
      <c r="B150" s="1">
        <f t="shared" si="12"/>
        <v>0.1981591533708349</v>
      </c>
      <c r="C150" s="1">
        <f t="shared" si="13"/>
        <v>1.8753205988137067E-3</v>
      </c>
      <c r="D150" s="1">
        <f t="shared" si="10"/>
        <v>-1.5958999883407196E-3</v>
      </c>
      <c r="E150" s="1">
        <f t="shared" si="14"/>
        <v>0</v>
      </c>
    </row>
    <row r="151" spans="1:6" x14ac:dyDescent="0.25">
      <c r="A151" s="1">
        <f t="shared" si="11"/>
        <v>284</v>
      </c>
      <c r="B151" s="1">
        <f t="shared" si="12"/>
        <v>0.20190979456846231</v>
      </c>
      <c r="C151" s="1">
        <f t="shared" si="13"/>
        <v>-1.3164793778677325E-3</v>
      </c>
      <c r="D151" s="1">
        <f t="shared" si="10"/>
        <v>-1.5396147503071507E-3</v>
      </c>
      <c r="E151" s="1">
        <f t="shared" si="14"/>
        <v>0</v>
      </c>
    </row>
    <row r="152" spans="1:6" x14ac:dyDescent="0.25">
      <c r="A152" s="1">
        <f t="shared" si="11"/>
        <v>286</v>
      </c>
      <c r="B152" s="1">
        <f t="shared" si="12"/>
        <v>0.19927683581272684</v>
      </c>
      <c r="C152" s="1">
        <f t="shared" si="13"/>
        <v>-4.3957088784820336E-3</v>
      </c>
      <c r="D152" s="1">
        <f t="shared" si="10"/>
        <v>-1.4365543213959509E-3</v>
      </c>
      <c r="E152" s="1">
        <f t="shared" si="14"/>
        <v>0</v>
      </c>
    </row>
    <row r="153" spans="1:6" x14ac:dyDescent="0.25">
      <c r="A153" s="1">
        <f t="shared" si="11"/>
        <v>288</v>
      </c>
      <c r="B153" s="1">
        <f t="shared" si="12"/>
        <v>0.19048541805576277</v>
      </c>
      <c r="C153" s="1">
        <f t="shared" si="13"/>
        <v>-7.2688175212739358E-3</v>
      </c>
      <c r="D153" s="1">
        <f t="shared" si="10"/>
        <v>-1.2909819512648081E-3</v>
      </c>
      <c r="E153" s="1">
        <f t="shared" si="14"/>
        <v>0</v>
      </c>
    </row>
    <row r="154" spans="1:6" x14ac:dyDescent="0.25">
      <c r="A154" s="1">
        <f t="shared" si="11"/>
        <v>290</v>
      </c>
      <c r="B154" s="1">
        <f t="shared" si="12"/>
        <v>0.1759477830132149</v>
      </c>
      <c r="C154" s="1">
        <f t="shared" si="13"/>
        <v>-9.8507814238035524E-3</v>
      </c>
      <c r="D154" s="1">
        <f t="shared" si="10"/>
        <v>-1.1083917653451408E-3</v>
      </c>
      <c r="E154" s="1">
        <f t="shared" si="14"/>
        <v>0</v>
      </c>
    </row>
    <row r="155" spans="1:6" x14ac:dyDescent="0.25">
      <c r="A155" s="1">
        <f t="shared" si="11"/>
        <v>292</v>
      </c>
      <c r="B155" s="1">
        <f t="shared" si="12"/>
        <v>0.1562462201656078</v>
      </c>
      <c r="C155" s="1">
        <f t="shared" si="13"/>
        <v>-1.2067564954493834E-2</v>
      </c>
      <c r="D155" s="1">
        <f t="shared" si="10"/>
        <v>-8.9530977651130594E-4</v>
      </c>
      <c r="E155" s="1">
        <f t="shared" si="14"/>
        <v>0</v>
      </c>
    </row>
    <row r="156" spans="1:6" x14ac:dyDescent="0.25">
      <c r="A156" s="1">
        <f t="shared" si="11"/>
        <v>294</v>
      </c>
      <c r="B156" s="1">
        <f t="shared" si="12"/>
        <v>0.13211109025662013</v>
      </c>
      <c r="C156" s="1">
        <f t="shared" si="13"/>
        <v>-1.3858184507516446E-2</v>
      </c>
      <c r="D156" s="1">
        <f t="shared" si="10"/>
        <v>-6.5906715920019615E-4</v>
      </c>
      <c r="E156" s="1">
        <f t="shared" si="14"/>
        <v>0</v>
      </c>
    </row>
    <row r="157" spans="1:6" x14ac:dyDescent="0.25">
      <c r="A157" s="1">
        <f t="shared" si="11"/>
        <v>296</v>
      </c>
      <c r="B157" s="1">
        <f t="shared" si="12"/>
        <v>0.10439472124158723</v>
      </c>
      <c r="C157" s="1">
        <f t="shared" si="13"/>
        <v>-1.517631882591684E-2</v>
      </c>
      <c r="D157" s="1">
        <f t="shared" si="10"/>
        <v>-4.0755348114980902E-4</v>
      </c>
      <c r="E157" s="1">
        <f t="shared" si="14"/>
        <v>0</v>
      </c>
    </row>
    <row r="158" spans="1:6" x14ac:dyDescent="0.25">
      <c r="A158" s="1">
        <f t="shared" si="11"/>
        <v>298</v>
      </c>
      <c r="B158" s="1">
        <f t="shared" si="12"/>
        <v>7.404208358975356E-2</v>
      </c>
      <c r="C158" s="1">
        <f t="shared" si="13"/>
        <v>-1.5991425788216457E-2</v>
      </c>
      <c r="D158" s="1">
        <f t="shared" si="10"/>
        <v>-1.4895804087587661E-4</v>
      </c>
      <c r="E158" s="1">
        <f t="shared" si="14"/>
        <v>0</v>
      </c>
    </row>
    <row r="159" spans="1:6" x14ac:dyDescent="0.25">
      <c r="A159" s="1">
        <f t="shared" si="11"/>
        <v>300</v>
      </c>
      <c r="B159" s="1">
        <f t="shared" si="12"/>
        <v>4.2059232013320645E-2</v>
      </c>
      <c r="C159" s="1">
        <f t="shared" si="13"/>
        <v>-1.6289341869968211E-2</v>
      </c>
      <c r="D159" s="1">
        <f t="shared" si="10"/>
        <v>1.0849235241124701E-4</v>
      </c>
      <c r="E159" s="1">
        <f>-Push</f>
        <v>0</v>
      </c>
      <c r="F159" t="s">
        <v>16</v>
      </c>
    </row>
    <row r="160" spans="1:6" x14ac:dyDescent="0.25">
      <c r="A160" s="1">
        <f t="shared" si="11"/>
        <v>302</v>
      </c>
      <c r="B160" s="1">
        <f t="shared" si="12"/>
        <v>9.4805482733842233E-3</v>
      </c>
      <c r="C160" s="1">
        <f t="shared" si="13"/>
        <v>-1.6072357165145715E-2</v>
      </c>
      <c r="D160" s="1">
        <f t="shared" si="10"/>
        <v>3.5679089549350829E-4</v>
      </c>
      <c r="E160" s="1">
        <f t="shared" si="14"/>
        <v>0</v>
      </c>
    </row>
    <row r="161" spans="1:5" x14ac:dyDescent="0.25">
      <c r="A161" s="1">
        <f t="shared" si="11"/>
        <v>304</v>
      </c>
      <c r="B161" s="1">
        <f t="shared" si="12"/>
        <v>-2.2664166056907208E-2</v>
      </c>
      <c r="C161" s="1">
        <f t="shared" si="13"/>
        <v>-1.5358775374158699E-2</v>
      </c>
      <c r="D161" s="1">
        <f t="shared" si="10"/>
        <v>5.8839567527132933E-4</v>
      </c>
      <c r="E161" s="1">
        <f t="shared" si="14"/>
        <v>0</v>
      </c>
    </row>
    <row r="162" spans="1:5" x14ac:dyDescent="0.25">
      <c r="A162" s="1">
        <f t="shared" si="11"/>
        <v>306</v>
      </c>
      <c r="B162" s="1">
        <f t="shared" si="12"/>
        <v>-5.3381716805224605E-2</v>
      </c>
      <c r="C162" s="1">
        <f t="shared" si="13"/>
        <v>-1.418198402361604E-2</v>
      </c>
      <c r="D162" s="1">
        <f t="shared" si="10"/>
        <v>7.9645456291366169E-4</v>
      </c>
      <c r="E162" s="1">
        <f t="shared" si="14"/>
        <v>0</v>
      </c>
    </row>
    <row r="163" spans="1:5" x14ac:dyDescent="0.25">
      <c r="A163" s="1">
        <f t="shared" si="11"/>
        <v>308</v>
      </c>
      <c r="B163" s="1">
        <f t="shared" si="12"/>
        <v>-8.1745684852456688E-2</v>
      </c>
      <c r="C163" s="1">
        <f t="shared" si="13"/>
        <v>-1.2589074897788717E-2</v>
      </c>
      <c r="D163" s="1">
        <f t="shared" si="10"/>
        <v>9.7500354910989981E-4</v>
      </c>
      <c r="E163" s="1">
        <f t="shared" si="14"/>
        <v>0</v>
      </c>
    </row>
    <row r="164" spans="1:5" x14ac:dyDescent="0.25">
      <c r="A164" s="1">
        <f t="shared" si="11"/>
        <v>310</v>
      </c>
      <c r="B164" s="1">
        <f t="shared" si="12"/>
        <v>-0.10692383464803412</v>
      </c>
      <c r="C164" s="1">
        <f t="shared" si="13"/>
        <v>-1.0639067799568917E-2</v>
      </c>
      <c r="D164" s="1">
        <f t="shared" si="10"/>
        <v>1.119132927283113E-3</v>
      </c>
      <c r="E164" s="1">
        <f t="shared" si="14"/>
        <v>0</v>
      </c>
    </row>
    <row r="165" spans="1:5" x14ac:dyDescent="0.25">
      <c r="A165" s="1">
        <f t="shared" si="11"/>
        <v>312</v>
      </c>
      <c r="B165" s="1">
        <f t="shared" si="12"/>
        <v>-0.12820197024717195</v>
      </c>
      <c r="C165" s="1">
        <f t="shared" si="13"/>
        <v>-8.4008019450026901E-3</v>
      </c>
      <c r="D165" s="1">
        <f t="shared" si="10"/>
        <v>1.2251168600540133E-3</v>
      </c>
      <c r="E165" s="1">
        <f t="shared" si="14"/>
        <v>0</v>
      </c>
    </row>
    <row r="166" spans="1:5" x14ac:dyDescent="0.25">
      <c r="A166" s="1">
        <f t="shared" si="11"/>
        <v>314</v>
      </c>
      <c r="B166" s="1">
        <f t="shared" si="12"/>
        <v>-0.14500357413717732</v>
      </c>
      <c r="C166" s="1">
        <f t="shared" si="13"/>
        <v>-5.9505682248946635E-3</v>
      </c>
      <c r="D166" s="1">
        <f t="shared" si="10"/>
        <v>1.2905031066971601E-3</v>
      </c>
      <c r="E166" s="1">
        <f t="shared" si="14"/>
        <v>0</v>
      </c>
    </row>
    <row r="167" spans="1:5" x14ac:dyDescent="0.25">
      <c r="A167" s="1">
        <f t="shared" si="11"/>
        <v>316</v>
      </c>
      <c r="B167" s="1">
        <f t="shared" si="12"/>
        <v>-0.15690471058696664</v>
      </c>
      <c r="C167" s="1">
        <f t="shared" si="13"/>
        <v>-3.3695620115003432E-3</v>
      </c>
      <c r="D167" s="1">
        <f t="shared" si="10"/>
        <v>1.3141610044865488E-3</v>
      </c>
      <c r="E167" s="1">
        <f t="shared" si="14"/>
        <v>0</v>
      </c>
    </row>
    <row r="168" spans="1:5" x14ac:dyDescent="0.25">
      <c r="A168" s="1">
        <f t="shared" si="11"/>
        <v>318</v>
      </c>
      <c r="B168" s="1">
        <f t="shared" si="12"/>
        <v>-0.16364383460996734</v>
      </c>
      <c r="C168" s="1">
        <f t="shared" si="13"/>
        <v>-7.4124000252724555E-4</v>
      </c>
      <c r="D168" s="1">
        <f t="shared" si="10"/>
        <v>1.2962871420254755E-3</v>
      </c>
      <c r="E168" s="1">
        <f t="shared" si="14"/>
        <v>0</v>
      </c>
    </row>
    <row r="169" spans="1:5" x14ac:dyDescent="0.25">
      <c r="A169" s="1">
        <f t="shared" si="11"/>
        <v>320</v>
      </c>
      <c r="B169" s="1">
        <f t="shared" si="12"/>
        <v>-0.16512631461502184</v>
      </c>
      <c r="C169" s="1">
        <f t="shared" si="13"/>
        <v>1.8513342815237054E-3</v>
      </c>
      <c r="D169" s="1">
        <f t="shared" si="10"/>
        <v>1.238369495252335E-3</v>
      </c>
      <c r="E169" s="1">
        <f t="shared" si="14"/>
        <v>0</v>
      </c>
    </row>
    <row r="170" spans="1:5" x14ac:dyDescent="0.25">
      <c r="A170" s="1">
        <f t="shared" si="11"/>
        <v>322</v>
      </c>
      <c r="B170" s="1">
        <f t="shared" si="12"/>
        <v>-0.16142364605197443</v>
      </c>
      <c r="C170" s="1">
        <f t="shared" si="13"/>
        <v>4.3280732720283755E-3</v>
      </c>
      <c r="D170" s="1">
        <f t="shared" si="10"/>
        <v>1.1431120755150399E-3</v>
      </c>
      <c r="E170" s="1">
        <f t="shared" si="14"/>
        <v>0</v>
      </c>
    </row>
    <row r="171" spans="1:5" x14ac:dyDescent="0.25">
      <c r="A171" s="1">
        <f t="shared" si="11"/>
        <v>324</v>
      </c>
      <c r="B171" s="1">
        <f t="shared" si="12"/>
        <v>-0.15276749950791768</v>
      </c>
      <c r="C171" s="1">
        <f t="shared" si="13"/>
        <v>6.6142974230584553E-3</v>
      </c>
      <c r="D171" s="1">
        <f t="shared" si="10"/>
        <v>1.0143233252237912E-3</v>
      </c>
      <c r="E171" s="1">
        <f t="shared" si="14"/>
        <v>0</v>
      </c>
    </row>
    <row r="172" spans="1:5" x14ac:dyDescent="0.25">
      <c r="A172" s="1">
        <f t="shared" si="11"/>
        <v>326</v>
      </c>
      <c r="B172" s="1">
        <f t="shared" si="12"/>
        <v>-0.13953890466180077</v>
      </c>
      <c r="C172" s="1">
        <f t="shared" si="13"/>
        <v>8.6429440735060377E-3</v>
      </c>
      <c r="D172" s="1">
        <f t="shared" si="10"/>
        <v>8.5677255519208415E-4</v>
      </c>
      <c r="E172" s="1">
        <f t="shared" si="14"/>
        <v>0</v>
      </c>
    </row>
    <row r="173" spans="1:5" x14ac:dyDescent="0.25">
      <c r="A173" s="1">
        <f t="shared" si="11"/>
        <v>328</v>
      </c>
      <c r="B173" s="1">
        <f t="shared" si="12"/>
        <v>-0.1222530165147887</v>
      </c>
      <c r="C173" s="1">
        <f t="shared" si="13"/>
        <v>1.0356489183890205E-2</v>
      </c>
      <c r="D173" s="1">
        <f t="shared" si="10"/>
        <v>6.7601961868709432E-4</v>
      </c>
      <c r="E173" s="1">
        <f t="shared" si="14"/>
        <v>0</v>
      </c>
    </row>
    <row r="174" spans="1:5" x14ac:dyDescent="0.25">
      <c r="A174" s="1">
        <f t="shared" si="11"/>
        <v>330</v>
      </c>
      <c r="B174" s="1">
        <f t="shared" si="12"/>
        <v>-0.10154003814700829</v>
      </c>
      <c r="C174" s="1">
        <f t="shared" si="13"/>
        <v>1.1708528421264394E-2</v>
      </c>
      <c r="D174" s="1">
        <f t="shared" si="10"/>
        <v>4.7822373585677889E-4</v>
      </c>
      <c r="E174" s="1">
        <f t="shared" si="14"/>
        <v>0</v>
      </c>
    </row>
    <row r="175" spans="1:5" x14ac:dyDescent="0.25">
      <c r="A175" s="1">
        <f t="shared" si="11"/>
        <v>332</v>
      </c>
      <c r="B175" s="1">
        <f t="shared" si="12"/>
        <v>-7.8122981304479505E-2</v>
      </c>
      <c r="C175" s="1">
        <f t="shared" si="13"/>
        <v>1.2664975892977952E-2</v>
      </c>
      <c r="D175" s="1">
        <f t="shared" si="10"/>
        <v>2.6993790024313095E-4</v>
      </c>
      <c r="E175" s="1">
        <f t="shared" si="14"/>
        <v>0</v>
      </c>
    </row>
    <row r="176" spans="1:5" x14ac:dyDescent="0.25">
      <c r="A176" s="1">
        <f t="shared" si="11"/>
        <v>334</v>
      </c>
      <c r="B176" s="1">
        <f t="shared" si="12"/>
        <v>-5.2793029518523604E-2</v>
      </c>
      <c r="C176" s="1">
        <f t="shared" si="13"/>
        <v>1.3204851693464213E-2</v>
      </c>
      <c r="D176" s="1">
        <f t="shared" si="10"/>
        <v>5.7895604859643194E-5</v>
      </c>
      <c r="E176" s="1">
        <f t="shared" si="14"/>
        <v>0</v>
      </c>
    </row>
    <row r="177" spans="1:6" x14ac:dyDescent="0.25">
      <c r="A177" s="1">
        <f t="shared" si="11"/>
        <v>336</v>
      </c>
      <c r="B177" s="1">
        <f t="shared" si="12"/>
        <v>-2.6383326131595178E-2</v>
      </c>
      <c r="C177" s="1">
        <f t="shared" si="13"/>
        <v>1.3320642903183499E-2</v>
      </c>
      <c r="D177" s="1">
        <f t="shared" si="10"/>
        <v>-1.5120328597887541E-4</v>
      </c>
      <c r="E177" s="1">
        <f t="shared" si="14"/>
        <v>0</v>
      </c>
    </row>
    <row r="178" spans="1:6" x14ac:dyDescent="0.25">
      <c r="A178" s="1">
        <f t="shared" si="11"/>
        <v>338</v>
      </c>
      <c r="B178" s="1">
        <f t="shared" si="12"/>
        <v>2.5795967477182033E-4</v>
      </c>
      <c r="C178" s="1">
        <f t="shared" si="13"/>
        <v>1.3018236331225749E-2</v>
      </c>
      <c r="D178" s="1">
        <f t="shared" si="10"/>
        <v>-3.5090081914007025E-4</v>
      </c>
      <c r="E178" s="1">
        <f t="shared" si="14"/>
        <v>0</v>
      </c>
    </row>
    <row r="179" spans="1:6" x14ac:dyDescent="0.25">
      <c r="A179" s="1">
        <f t="shared" si="11"/>
        <v>340</v>
      </c>
      <c r="B179" s="1">
        <f t="shared" si="12"/>
        <v>2.6294432337223318E-2</v>
      </c>
      <c r="C179" s="1">
        <f t="shared" si="13"/>
        <v>1.2316434692945608E-2</v>
      </c>
      <c r="D179" s="1">
        <f t="shared" si="10"/>
        <v>-5.3517702200128422E-4</v>
      </c>
      <c r="E179" s="1">
        <f t="shared" si="14"/>
        <v>0</v>
      </c>
    </row>
    <row r="180" spans="1:6" x14ac:dyDescent="0.25">
      <c r="A180" s="1">
        <f t="shared" si="11"/>
        <v>342</v>
      </c>
      <c r="B180" s="1">
        <f t="shared" si="12"/>
        <v>5.0927301723114535E-2</v>
      </c>
      <c r="C180" s="1">
        <f t="shared" si="13"/>
        <v>1.124608064894304E-2</v>
      </c>
      <c r="D180" s="1">
        <f t="shared" si="10"/>
        <v>-6.9862791483196686E-4</v>
      </c>
      <c r="E180" s="1">
        <f t="shared" si="14"/>
        <v>0</v>
      </c>
    </row>
    <row r="181" spans="1:6" x14ac:dyDescent="0.25">
      <c r="A181" s="1">
        <f t="shared" si="11"/>
        <v>344</v>
      </c>
      <c r="B181" s="1">
        <f t="shared" si="12"/>
        <v>7.3419463021000608E-2</v>
      </c>
      <c r="C181" s="1">
        <f t="shared" si="13"/>
        <v>9.8488248192791072E-3</v>
      </c>
      <c r="D181" s="1">
        <f t="shared" si="10"/>
        <v>-8.3662031672048485E-4</v>
      </c>
      <c r="E181" s="1">
        <f t="shared" si="14"/>
        <v>0</v>
      </c>
    </row>
    <row r="182" spans="1:6" x14ac:dyDescent="0.25">
      <c r="A182" s="1">
        <f t="shared" si="11"/>
        <v>346</v>
      </c>
      <c r="B182" s="1">
        <f t="shared" si="12"/>
        <v>9.3117112659558826E-2</v>
      </c>
      <c r="C182" s="1">
        <f t="shared" si="13"/>
        <v>8.1755841858381379E-3</v>
      </c>
      <c r="D182" s="1">
        <f t="shared" si="10"/>
        <v>-9.4541913492502089E-4</v>
      </c>
      <c r="E182" s="1">
        <f t="shared" si="14"/>
        <v>0</v>
      </c>
    </row>
    <row r="183" spans="1:6" x14ac:dyDescent="0.25">
      <c r="A183" s="1">
        <f t="shared" si="11"/>
        <v>348</v>
      </c>
      <c r="B183" s="1">
        <f t="shared" si="12"/>
        <v>0.1094682810312351</v>
      </c>
      <c r="C183" s="1">
        <f t="shared" si="13"/>
        <v>6.2847459159880957E-3</v>
      </c>
      <c r="D183" s="1">
        <f t="shared" si="10"/>
        <v>-1.0222837825921147E-3</v>
      </c>
      <c r="E183" s="1">
        <f t="shared" si="14"/>
        <v>0</v>
      </c>
    </row>
    <row r="184" spans="1:6" x14ac:dyDescent="0.25">
      <c r="A184" s="1">
        <f t="shared" si="11"/>
        <v>350</v>
      </c>
      <c r="B184" s="1">
        <f t="shared" si="12"/>
        <v>0.1220377728632113</v>
      </c>
      <c r="C184" s="1">
        <f t="shared" si="13"/>
        <v>4.2401783508038658E-3</v>
      </c>
      <c r="D184" s="1">
        <f t="shared" si="10"/>
        <v>-1.0655314081345916E-3</v>
      </c>
      <c r="E184" s="1">
        <f>Push</f>
        <v>0</v>
      </c>
      <c r="F184" t="s">
        <v>17</v>
      </c>
    </row>
    <row r="185" spans="1:6" x14ac:dyDescent="0.25">
      <c r="A185" s="1">
        <f t="shared" si="11"/>
        <v>352</v>
      </c>
      <c r="B185" s="1">
        <f t="shared" si="12"/>
        <v>0.13051812956481904</v>
      </c>
      <c r="C185" s="1">
        <f t="shared" si="13"/>
        <v>2.1091155345346825E-3</v>
      </c>
      <c r="D185" s="1">
        <f t="shared" si="10"/>
        <v>-1.074565706931118E-3</v>
      </c>
      <c r="E185" s="1">
        <f t="shared" si="14"/>
        <v>0</v>
      </c>
    </row>
    <row r="186" spans="1:6" x14ac:dyDescent="0.25">
      <c r="A186" s="1">
        <f t="shared" si="11"/>
        <v>354</v>
      </c>
      <c r="B186" s="1">
        <f t="shared" si="12"/>
        <v>0.13473636063388841</v>
      </c>
      <c r="C186" s="1">
        <f t="shared" si="13"/>
        <v>-4.0015879327553495E-5</v>
      </c>
      <c r="D186" s="1">
        <f t="shared" si="10"/>
        <v>-1.0498711873783511E-3</v>
      </c>
      <c r="E186" s="1">
        <f t="shared" si="14"/>
        <v>0</v>
      </c>
    </row>
    <row r="187" spans="1:6" x14ac:dyDescent="0.25">
      <c r="A187" s="1">
        <f t="shared" si="11"/>
        <v>356</v>
      </c>
      <c r="B187" s="1">
        <f t="shared" si="12"/>
        <v>0.13465632887523329</v>
      </c>
      <c r="C187" s="1">
        <f t="shared" si="13"/>
        <v>-2.1397582540842557E-3</v>
      </c>
      <c r="D187" s="1">
        <f t="shared" si="10"/>
        <v>-9.929738440173615E-4</v>
      </c>
      <c r="E187" s="1">
        <f t="shared" si="14"/>
        <v>0</v>
      </c>
    </row>
    <row r="188" spans="1:6" x14ac:dyDescent="0.25">
      <c r="A188" s="1">
        <f t="shared" si="11"/>
        <v>358</v>
      </c>
      <c r="B188" s="1">
        <f t="shared" si="12"/>
        <v>0.13037681236706478</v>
      </c>
      <c r="C188" s="1">
        <f t="shared" si="13"/>
        <v>-4.1257059421189787E-3</v>
      </c>
      <c r="D188" s="1">
        <f t="shared" si="10"/>
        <v>-9.0637021721431661E-4</v>
      </c>
      <c r="E188" s="1">
        <f t="shared" si="14"/>
        <v>0</v>
      </c>
    </row>
    <row r="189" spans="1:6" x14ac:dyDescent="0.25">
      <c r="A189" s="1">
        <f t="shared" si="11"/>
        <v>360</v>
      </c>
      <c r="B189" s="1">
        <f t="shared" si="12"/>
        <v>0.12212540048282682</v>
      </c>
      <c r="C189" s="1">
        <f t="shared" si="13"/>
        <v>-5.9384463765476117E-3</v>
      </c>
      <c r="D189" s="1">
        <f t="shared" si="10"/>
        <v>-7.9342776087457307E-4</v>
      </c>
      <c r="E189" s="1">
        <f t="shared" si="14"/>
        <v>0</v>
      </c>
    </row>
    <row r="190" spans="1:6" x14ac:dyDescent="0.25">
      <c r="A190" s="1">
        <f t="shared" si="11"/>
        <v>362</v>
      </c>
      <c r="B190" s="1">
        <f t="shared" si="12"/>
        <v>0.11024850772973159</v>
      </c>
      <c r="C190" s="1">
        <f t="shared" si="13"/>
        <v>-7.525301898296758E-3</v>
      </c>
      <c r="D190" s="1">
        <f t="shared" si="10"/>
        <v>-6.5826026941755318E-4</v>
      </c>
      <c r="E190" s="1">
        <f t="shared" si="14"/>
        <v>0</v>
      </c>
    </row>
    <row r="191" spans="1:6" x14ac:dyDescent="0.25">
      <c r="A191" s="1">
        <f t="shared" si="11"/>
        <v>364</v>
      </c>
      <c r="B191" s="1">
        <f t="shared" si="12"/>
        <v>9.5197903933138067E-2</v>
      </c>
      <c r="C191" s="1">
        <f t="shared" si="13"/>
        <v>-8.8418224371318646E-3</v>
      </c>
      <c r="D191" s="1">
        <f t="shared" si="10"/>
        <v>-5.0558280936334292E-4</v>
      </c>
      <c r="E191" s="1">
        <f t="shared" si="14"/>
        <v>0</v>
      </c>
    </row>
    <row r="192" spans="1:6" x14ac:dyDescent="0.25">
      <c r="A192" s="1">
        <f t="shared" si="11"/>
        <v>366</v>
      </c>
      <c r="B192" s="1">
        <f t="shared" si="12"/>
        <v>7.7514259058874338E-2</v>
      </c>
      <c r="C192" s="1">
        <f t="shared" si="13"/>
        <v>-9.8529880558585504E-3</v>
      </c>
      <c r="D192" s="1">
        <f t="shared" si="10"/>
        <v>-3.4055114076221072E-4</v>
      </c>
      <c r="E192" s="1">
        <f t="shared" si="14"/>
        <v>0</v>
      </c>
    </row>
    <row r="193" spans="1:5" x14ac:dyDescent="0.25">
      <c r="A193" s="1">
        <f t="shared" si="11"/>
        <v>368</v>
      </c>
      <c r="B193" s="1">
        <f t="shared" si="12"/>
        <v>5.7808282947157237E-2</v>
      </c>
      <c r="C193" s="1">
        <f t="shared" si="13"/>
        <v>-1.0534090337382972E-2</v>
      </c>
      <c r="D193" s="1">
        <f t="shared" si="10"/>
        <v>-1.6859098594596282E-4</v>
      </c>
      <c r="E193" s="1">
        <f t="shared" si="14"/>
        <v>0</v>
      </c>
    </row>
    <row r="194" spans="1:5" x14ac:dyDescent="0.25">
      <c r="A194" s="1">
        <f t="shared" si="11"/>
        <v>370</v>
      </c>
      <c r="B194" s="1">
        <f t="shared" si="12"/>
        <v>3.6740102272391294E-2</v>
      </c>
      <c r="C194" s="1">
        <f t="shared" si="13"/>
        <v>-1.0871272309274897E-2</v>
      </c>
      <c r="D194" s="1">
        <f t="shared" si="10"/>
        <v>4.7773001639151791E-6</v>
      </c>
      <c r="E194" s="1">
        <f t="shared" si="14"/>
        <v>0</v>
      </c>
    </row>
    <row r="195" spans="1:5" x14ac:dyDescent="0.25">
      <c r="A195" s="1">
        <f t="shared" si="11"/>
        <v>372</v>
      </c>
      <c r="B195" s="1">
        <f t="shared" si="12"/>
        <v>1.49975576538415E-2</v>
      </c>
      <c r="C195" s="1">
        <f t="shared" si="13"/>
        <v>-1.0861717708947066E-2</v>
      </c>
      <c r="D195" s="1">
        <f t="shared" si="10"/>
        <v>1.7411308489981766E-4</v>
      </c>
      <c r="E195" s="1">
        <f t="shared" si="14"/>
        <v>0</v>
      </c>
    </row>
    <row r="196" spans="1:5" x14ac:dyDescent="0.25">
      <c r="A196" s="1">
        <f t="shared" si="11"/>
        <v>374</v>
      </c>
      <c r="B196" s="1">
        <f t="shared" si="12"/>
        <v>-6.7258777640526318E-3</v>
      </c>
      <c r="C196" s="1">
        <f t="shared" si="13"/>
        <v>-1.0513491539147431E-2</v>
      </c>
      <c r="D196" s="1">
        <f t="shared" si="10"/>
        <v>3.3422341980876168E-4</v>
      </c>
      <c r="E196" s="1">
        <f t="shared" si="14"/>
        <v>0</v>
      </c>
    </row>
    <row r="197" spans="1:5" x14ac:dyDescent="0.25">
      <c r="A197" s="1">
        <f t="shared" si="11"/>
        <v>376</v>
      </c>
      <c r="B197" s="1">
        <f t="shared" si="12"/>
        <v>-2.7752860842347495E-2</v>
      </c>
      <c r="C197" s="1">
        <f t="shared" si="13"/>
        <v>-9.8450446995299087E-3</v>
      </c>
      <c r="D197" s="1">
        <f t="shared" si="10"/>
        <v>4.8031951251771202E-4</v>
      </c>
      <c r="E197" s="1">
        <f t="shared" si="14"/>
        <v>0</v>
      </c>
    </row>
    <row r="198" spans="1:5" x14ac:dyDescent="0.25">
      <c r="A198" s="1">
        <f t="shared" si="11"/>
        <v>378</v>
      </c>
      <c r="B198" s="1">
        <f t="shared" si="12"/>
        <v>-4.7442950241407308E-2</v>
      </c>
      <c r="C198" s="1">
        <f t="shared" si="13"/>
        <v>-8.8844056744944843E-3</v>
      </c>
      <c r="D198" s="1">
        <f t="shared" si="10"/>
        <v>6.0815708395942916E-4</v>
      </c>
      <c r="E198" s="1">
        <f t="shared" si="14"/>
        <v>0</v>
      </c>
    </row>
    <row r="199" spans="1:5" x14ac:dyDescent="0.25">
      <c r="A199" s="1">
        <f t="shared" si="11"/>
        <v>380</v>
      </c>
      <c r="B199" s="1">
        <f t="shared" si="12"/>
        <v>-6.5211761590396281E-2</v>
      </c>
      <c r="C199" s="1">
        <f t="shared" si="13"/>
        <v>-7.6680915065756262E-3</v>
      </c>
      <c r="D199" s="1">
        <f t="shared" si="10"/>
        <v>7.1415659278131782E-4</v>
      </c>
      <c r="E199" s="1">
        <f t="shared" si="14"/>
        <v>0</v>
      </c>
    </row>
    <row r="200" spans="1:5" x14ac:dyDescent="0.25">
      <c r="A200" s="1">
        <f t="shared" si="11"/>
        <v>382</v>
      </c>
      <c r="B200" s="1">
        <f t="shared" si="12"/>
        <v>-8.0547944603547528E-2</v>
      </c>
      <c r="C200" s="1">
        <f t="shared" si="13"/>
        <v>-6.2397783210129901E-3</v>
      </c>
      <c r="D200" s="1">
        <f t="shared" si="10"/>
        <v>7.9550002691081883E-4</v>
      </c>
      <c r="E200" s="1">
        <f t="shared" si="14"/>
        <v>0</v>
      </c>
    </row>
    <row r="201" spans="1:5" x14ac:dyDescent="0.25">
      <c r="A201" s="1">
        <f t="shared" si="11"/>
        <v>384</v>
      </c>
      <c r="B201" s="1">
        <f t="shared" si="12"/>
        <v>-9.3027501245573505E-2</v>
      </c>
      <c r="C201" s="1">
        <f t="shared" si="13"/>
        <v>-4.6487782671913525E-3</v>
      </c>
      <c r="D201" s="1">
        <f t="shared" ref="D201:D264" si="15">-k*(B201-E201)/m-(b+bb)*C201</f>
        <v>8.5020176727620153E-4</v>
      </c>
      <c r="E201" s="1">
        <f t="shared" si="14"/>
        <v>0</v>
      </c>
    </row>
    <row r="202" spans="1:5" x14ac:dyDescent="0.25">
      <c r="A202" s="1">
        <f t="shared" ref="A202:A265" si="16">A201+dt</f>
        <v>386</v>
      </c>
      <c r="B202" s="1">
        <f t="shared" ref="B202:B265" si="17">B201+C201*dt</f>
        <v>-0.10232505777995621</v>
      </c>
      <c r="C202" s="1">
        <f t="shared" ref="C202:C265" si="18">C201+D201*dt</f>
        <v>-2.9483747326389496E-3</v>
      </c>
      <c r="D202" s="1">
        <f t="shared" si="15"/>
        <v>8.7715189351838228E-4</v>
      </c>
      <c r="E202" s="1">
        <f t="shared" si="14"/>
        <v>0</v>
      </c>
    </row>
    <row r="203" spans="1:5" x14ac:dyDescent="0.25">
      <c r="A203" s="1">
        <f t="shared" si="16"/>
        <v>388</v>
      </c>
      <c r="B203" s="1">
        <f t="shared" si="17"/>
        <v>-0.10822180724523411</v>
      </c>
      <c r="C203" s="1">
        <f t="shared" si="18"/>
        <v>-1.1940709456021851E-3</v>
      </c>
      <c r="D203" s="1">
        <f t="shared" si="15"/>
        <v>8.7613119785496466E-4</v>
      </c>
      <c r="E203" s="1">
        <f t="shared" ref="E203:E266" si="19">E202</f>
        <v>0</v>
      </c>
    </row>
    <row r="204" spans="1:5" x14ac:dyDescent="0.25">
      <c r="A204" s="1">
        <f t="shared" si="16"/>
        <v>390</v>
      </c>
      <c r="B204" s="1">
        <f t="shared" si="17"/>
        <v>-0.11060994913643848</v>
      </c>
      <c r="C204" s="1">
        <f t="shared" si="18"/>
        <v>5.5819145010774424E-4</v>
      </c>
      <c r="D204" s="1">
        <f t="shared" si="15"/>
        <v>8.4779807240133263E-4</v>
      </c>
      <c r="E204" s="1">
        <f t="shared" si="19"/>
        <v>0</v>
      </c>
    </row>
    <row r="205" spans="1:5" x14ac:dyDescent="0.25">
      <c r="A205" s="1">
        <f t="shared" si="16"/>
        <v>392</v>
      </c>
      <c r="B205" s="1">
        <f t="shared" si="17"/>
        <v>-0.109493566236223</v>
      </c>
      <c r="C205" s="1">
        <f t="shared" si="18"/>
        <v>2.2537875949104093E-3</v>
      </c>
      <c r="D205" s="1">
        <f t="shared" si="15"/>
        <v>7.9364830909894033E-4</v>
      </c>
      <c r="E205" s="1">
        <f t="shared" si="19"/>
        <v>0</v>
      </c>
    </row>
    <row r="206" spans="1:5" x14ac:dyDescent="0.25">
      <c r="A206" s="1">
        <f t="shared" si="16"/>
        <v>394</v>
      </c>
      <c r="B206" s="1">
        <f t="shared" si="17"/>
        <v>-0.10498599104640219</v>
      </c>
      <c r="C206" s="1">
        <f t="shared" si="18"/>
        <v>3.8410842131082899E-3</v>
      </c>
      <c r="D206" s="1">
        <f t="shared" si="15"/>
        <v>7.1594967325063494E-4</v>
      </c>
      <c r="E206" s="1">
        <f t="shared" si="19"/>
        <v>0</v>
      </c>
    </row>
    <row r="207" spans="1:5" x14ac:dyDescent="0.25">
      <c r="A207" s="1">
        <f t="shared" si="16"/>
        <v>396</v>
      </c>
      <c r="B207" s="1">
        <f t="shared" si="17"/>
        <v>-9.7303822620185609E-2</v>
      </c>
      <c r="C207" s="1">
        <f t="shared" si="18"/>
        <v>5.2729835596095603E-3</v>
      </c>
      <c r="D207" s="1">
        <f t="shared" si="15"/>
        <v>6.1765385703991139E-4</v>
      </c>
      <c r="E207" s="1">
        <f t="shared" si="19"/>
        <v>0</v>
      </c>
    </row>
    <row r="208" spans="1:5" x14ac:dyDescent="0.25">
      <c r="A208" s="1">
        <f t="shared" si="16"/>
        <v>398</v>
      </c>
      <c r="B208" s="1">
        <f t="shared" si="17"/>
        <v>-8.6757855500966485E-2</v>
      </c>
      <c r="C208" s="1">
        <f t="shared" si="18"/>
        <v>6.508291273689383E-3</v>
      </c>
      <c r="D208" s="1">
        <f t="shared" si="15"/>
        <v>5.0228906677266308E-4</v>
      </c>
      <c r="E208" s="1">
        <f t="shared" si="19"/>
        <v>0</v>
      </c>
    </row>
    <row r="209" spans="1:6" x14ac:dyDescent="0.25">
      <c r="A209" s="1">
        <f t="shared" si="16"/>
        <v>400</v>
      </c>
      <c r="B209" s="1">
        <f t="shared" si="17"/>
        <v>-7.3741272953587719E-2</v>
      </c>
      <c r="C209" s="1">
        <f t="shared" si="18"/>
        <v>7.5128694072347096E-3</v>
      </c>
      <c r="D209" s="1">
        <f t="shared" si="15"/>
        <v>3.7383702892409393E-4</v>
      </c>
      <c r="E209" s="1">
        <f>-Push</f>
        <v>0</v>
      </c>
      <c r="F209" t="s">
        <v>18</v>
      </c>
    </row>
    <row r="210" spans="1:6" x14ac:dyDescent="0.25">
      <c r="A210" s="1">
        <f t="shared" si="16"/>
        <v>402</v>
      </c>
      <c r="B210" s="1">
        <f t="shared" si="17"/>
        <v>-5.87155341391183E-2</v>
      </c>
      <c r="C210" s="1">
        <f t="shared" si="18"/>
        <v>8.2605434650828979E-3</v>
      </c>
      <c r="D210" s="1">
        <f t="shared" si="15"/>
        <v>2.3659860142090104E-4</v>
      </c>
      <c r="E210" s="1">
        <f t="shared" si="19"/>
        <v>0</v>
      </c>
    </row>
    <row r="211" spans="1:6" x14ac:dyDescent="0.25">
      <c r="A211" s="1">
        <f t="shared" si="16"/>
        <v>404</v>
      </c>
      <c r="B211" s="1">
        <f t="shared" si="17"/>
        <v>-4.2194447208952504E-2</v>
      </c>
      <c r="C211" s="1">
        <f t="shared" si="18"/>
        <v>8.7337406679247002E-3</v>
      </c>
      <c r="D211" s="1">
        <f t="shared" si="15"/>
        <v>9.5052438329447565E-5</v>
      </c>
      <c r="E211" s="1">
        <f t="shared" si="19"/>
        <v>0</v>
      </c>
    </row>
    <row r="212" spans="1:6" x14ac:dyDescent="0.25">
      <c r="A212" s="1">
        <f t="shared" si="16"/>
        <v>406</v>
      </c>
      <c r="B212" s="1">
        <f t="shared" si="17"/>
        <v>-2.4726965873103104E-2</v>
      </c>
      <c r="C212" s="1">
        <f t="shared" si="18"/>
        <v>8.9238455445835949E-3</v>
      </c>
      <c r="D212" s="1">
        <f t="shared" si="15"/>
        <v>-4.6288726784636151E-5</v>
      </c>
      <c r="E212" s="1">
        <f t="shared" si="19"/>
        <v>0</v>
      </c>
    </row>
    <row r="213" spans="1:6" x14ac:dyDescent="0.25">
      <c r="A213" s="1">
        <f t="shared" si="16"/>
        <v>408</v>
      </c>
      <c r="B213" s="1">
        <f t="shared" si="17"/>
        <v>-6.8792747839359139E-3</v>
      </c>
      <c r="C213" s="1">
        <f t="shared" si="18"/>
        <v>8.8312680910143226E-3</v>
      </c>
      <c r="D213" s="1">
        <f t="shared" si="15"/>
        <v>-1.8301964152448374E-4</v>
      </c>
      <c r="E213" s="1">
        <f t="shared" si="19"/>
        <v>0</v>
      </c>
    </row>
    <row r="214" spans="1:6" x14ac:dyDescent="0.25">
      <c r="A214" s="1">
        <f t="shared" si="16"/>
        <v>410</v>
      </c>
      <c r="B214" s="1">
        <f t="shared" si="17"/>
        <v>1.0783261398092731E-2</v>
      </c>
      <c r="C214" s="1">
        <f t="shared" si="18"/>
        <v>8.4652288079653543E-3</v>
      </c>
      <c r="D214" s="1">
        <f t="shared" si="15"/>
        <v>-3.1097757095859479E-4</v>
      </c>
      <c r="E214" s="1">
        <f t="shared" si="19"/>
        <v>0</v>
      </c>
    </row>
    <row r="215" spans="1:6" x14ac:dyDescent="0.25">
      <c r="A215" s="1">
        <f t="shared" si="16"/>
        <v>412</v>
      </c>
      <c r="B215" s="1">
        <f t="shared" si="17"/>
        <v>2.771371901402344E-2</v>
      </c>
      <c r="C215" s="1">
        <f t="shared" si="18"/>
        <v>7.8432736660481641E-3</v>
      </c>
      <c r="D215" s="1">
        <f t="shared" si="15"/>
        <v>-4.2636674255947362E-4</v>
      </c>
      <c r="E215" s="1">
        <f t="shared" si="19"/>
        <v>0</v>
      </c>
    </row>
    <row r="216" spans="1:6" x14ac:dyDescent="0.25">
      <c r="A216" s="1">
        <f t="shared" si="16"/>
        <v>414</v>
      </c>
      <c r="B216" s="1">
        <f t="shared" si="17"/>
        <v>4.3400266346119765E-2</v>
      </c>
      <c r="C216" s="1">
        <f t="shared" si="18"/>
        <v>6.9905401809292169E-3</v>
      </c>
      <c r="D216" s="1">
        <f t="shared" si="15"/>
        <v>-5.2586855434863717E-4</v>
      </c>
      <c r="E216" s="1">
        <f t="shared" si="19"/>
        <v>0</v>
      </c>
    </row>
    <row r="217" spans="1:6" x14ac:dyDescent="0.25">
      <c r="A217" s="1">
        <f t="shared" si="16"/>
        <v>416</v>
      </c>
      <c r="B217" s="1">
        <f t="shared" si="17"/>
        <v>5.7381346707978197E-2</v>
      </c>
      <c r="C217" s="1">
        <f t="shared" si="18"/>
        <v>5.9388030722319421E-3</v>
      </c>
      <c r="D217" s="1">
        <f t="shared" si="15"/>
        <v>-6.0673442665804597E-4</v>
      </c>
      <c r="E217" s="1">
        <f t="shared" si="19"/>
        <v>0</v>
      </c>
    </row>
    <row r="218" spans="1:6" x14ac:dyDescent="0.25">
      <c r="A218" s="1">
        <f t="shared" si="16"/>
        <v>418</v>
      </c>
      <c r="B218" s="1">
        <f t="shared" si="17"/>
        <v>6.9258952852442074E-2</v>
      </c>
      <c r="C218" s="1">
        <f t="shared" si="18"/>
        <v>4.7253342189158502E-3</v>
      </c>
      <c r="D218" s="1">
        <f t="shared" si="15"/>
        <v>-6.6685878931599298E-4</v>
      </c>
      <c r="E218" s="1">
        <f t="shared" si="19"/>
        <v>0</v>
      </c>
    </row>
    <row r="219" spans="1:6" x14ac:dyDescent="0.25">
      <c r="A219" s="1">
        <f t="shared" si="16"/>
        <v>420</v>
      </c>
      <c r="B219" s="1">
        <f t="shared" si="17"/>
        <v>7.8709621290273771E-2</v>
      </c>
      <c r="C219" s="1">
        <f t="shared" si="18"/>
        <v>3.3916166402838642E-3</v>
      </c>
      <c r="D219" s="1">
        <f t="shared" si="15"/>
        <v>-7.0483037202374291E-4</v>
      </c>
      <c r="E219" s="1">
        <f t="shared" si="19"/>
        <v>0</v>
      </c>
    </row>
    <row r="220" spans="1:6" x14ac:dyDescent="0.25">
      <c r="A220" s="1">
        <f t="shared" si="16"/>
        <v>422</v>
      </c>
      <c r="B220" s="1">
        <f t="shared" si="17"/>
        <v>8.5492854570841492E-2</v>
      </c>
      <c r="C220" s="1">
        <f t="shared" si="18"/>
        <v>1.9819558962363782E-3</v>
      </c>
      <c r="D220" s="1">
        <f t="shared" si="15"/>
        <v>-7.1996068367169853E-4</v>
      </c>
      <c r="E220" s="1">
        <f t="shared" si="19"/>
        <v>0</v>
      </c>
    </row>
    <row r="221" spans="1:6" x14ac:dyDescent="0.25">
      <c r="A221" s="1">
        <f t="shared" si="16"/>
        <v>424</v>
      </c>
      <c r="B221" s="1">
        <f t="shared" si="17"/>
        <v>8.9456766363314247E-2</v>
      </c>
      <c r="C221" s="1">
        <f t="shared" si="18"/>
        <v>5.4203452889298111E-4</v>
      </c>
      <c r="D221" s="1">
        <f t="shared" si="15"/>
        <v>-7.1228930300818295E-4</v>
      </c>
      <c r="E221" s="1">
        <f t="shared" si="19"/>
        <v>0</v>
      </c>
    </row>
    <row r="222" spans="1:6" x14ac:dyDescent="0.25">
      <c r="A222" s="1">
        <f t="shared" si="16"/>
        <v>426</v>
      </c>
      <c r="B222" s="1">
        <f t="shared" si="17"/>
        <v>9.054083542110021E-2</v>
      </c>
      <c r="C222" s="1">
        <f t="shared" si="18"/>
        <v>-8.825440771233848E-4</v>
      </c>
      <c r="D222" s="1">
        <f t="shared" si="15"/>
        <v>-6.8256633501767485E-4</v>
      </c>
      <c r="E222" s="1">
        <f t="shared" si="19"/>
        <v>0</v>
      </c>
    </row>
    <row r="223" spans="1:6" x14ac:dyDescent="0.25">
      <c r="A223" s="1">
        <f t="shared" si="16"/>
        <v>428</v>
      </c>
      <c r="B223" s="1">
        <f t="shared" si="17"/>
        <v>8.8775747266853444E-2</v>
      </c>
      <c r="C223" s="1">
        <f t="shared" si="18"/>
        <v>-2.2476767471587347E-3</v>
      </c>
      <c r="D223" s="1">
        <f t="shared" si="15"/>
        <v>-6.3221309185760275E-4</v>
      </c>
      <c r="E223" s="1">
        <f t="shared" si="19"/>
        <v>0</v>
      </c>
    </row>
    <row r="224" spans="1:6" x14ac:dyDescent="0.25">
      <c r="A224" s="1">
        <f t="shared" si="16"/>
        <v>430</v>
      </c>
      <c r="B224" s="1">
        <f t="shared" si="17"/>
        <v>8.4280393772535975E-2</v>
      </c>
      <c r="C224" s="1">
        <f t="shared" si="18"/>
        <v>-3.51210293087394E-3</v>
      </c>
      <c r="D224" s="1">
        <f t="shared" si="15"/>
        <v>-5.6326271287835902E-4</v>
      </c>
      <c r="E224" s="1">
        <f t="shared" si="19"/>
        <v>0</v>
      </c>
    </row>
    <row r="225" spans="1:6" x14ac:dyDescent="0.25">
      <c r="A225" s="1">
        <f t="shared" si="16"/>
        <v>432</v>
      </c>
      <c r="B225" s="1">
        <f t="shared" si="17"/>
        <v>7.7256187910788088E-2</v>
      </c>
      <c r="C225" s="1">
        <f t="shared" si="18"/>
        <v>-4.6386283566306578E-3</v>
      </c>
      <c r="D225" s="1">
        <f t="shared" si="15"/>
        <v>-4.7828302574644537E-4</v>
      </c>
      <c r="E225" s="1">
        <f t="shared" si="19"/>
        <v>0</v>
      </c>
    </row>
    <row r="226" spans="1:6" x14ac:dyDescent="0.25">
      <c r="A226" s="1">
        <f t="shared" si="16"/>
        <v>434</v>
      </c>
      <c r="B226" s="1">
        <f t="shared" si="17"/>
        <v>6.7978931197526765E-2</v>
      </c>
      <c r="C226" s="1">
        <f t="shared" si="18"/>
        <v>-5.5951944081235484E-3</v>
      </c>
      <c r="D226" s="1">
        <f t="shared" si="15"/>
        <v>-3.8028445320299764E-4</v>
      </c>
      <c r="E226" s="1">
        <f t="shared" si="19"/>
        <v>0</v>
      </c>
    </row>
    <row r="227" spans="1:6" x14ac:dyDescent="0.25">
      <c r="A227" s="1">
        <f t="shared" si="16"/>
        <v>436</v>
      </c>
      <c r="B227" s="1">
        <f t="shared" si="17"/>
        <v>5.6788542381279672E-2</v>
      </c>
      <c r="C227" s="1">
        <f t="shared" si="18"/>
        <v>-6.3557633145295434E-3</v>
      </c>
      <c r="D227" s="1">
        <f t="shared" si="15"/>
        <v>-2.7261617374458967E-4</v>
      </c>
      <c r="E227" s="1">
        <f t="shared" si="19"/>
        <v>0</v>
      </c>
    </row>
    <row r="228" spans="1:6" x14ac:dyDescent="0.25">
      <c r="A228" s="1">
        <f t="shared" si="16"/>
        <v>438</v>
      </c>
      <c r="B228" s="1">
        <f t="shared" si="17"/>
        <v>4.4077015752220589E-2</v>
      </c>
      <c r="C228" s="1">
        <f t="shared" si="18"/>
        <v>-6.9009956620187229E-3</v>
      </c>
      <c r="D228" s="1">
        <f t="shared" si="15"/>
        <v>-1.5885403912521882E-4</v>
      </c>
      <c r="E228" s="1">
        <f t="shared" si="19"/>
        <v>0</v>
      </c>
    </row>
    <row r="229" spans="1:6" x14ac:dyDescent="0.25">
      <c r="A229" s="1">
        <f t="shared" si="16"/>
        <v>440</v>
      </c>
      <c r="B229" s="1">
        <f t="shared" si="17"/>
        <v>3.0275024428183143E-2</v>
      </c>
      <c r="C229" s="1">
        <f t="shared" si="18"/>
        <v>-7.2187037402691601E-3</v>
      </c>
      <c r="D229" s="1">
        <f t="shared" si="15"/>
        <v>-4.268393030061501E-5</v>
      </c>
      <c r="E229" s="1">
        <f t="shared" si="19"/>
        <v>0</v>
      </c>
    </row>
    <row r="230" spans="1:6" x14ac:dyDescent="0.25">
      <c r="A230" s="1">
        <f t="shared" si="16"/>
        <v>442</v>
      </c>
      <c r="B230" s="1">
        <f t="shared" si="17"/>
        <v>1.5837616947644823E-2</v>
      </c>
      <c r="C230" s="1">
        <f t="shared" si="18"/>
        <v>-7.3040716008703904E-3</v>
      </c>
      <c r="D230" s="1">
        <f t="shared" si="15"/>
        <v>7.2215706711696852E-5</v>
      </c>
      <c r="E230" s="1">
        <f t="shared" si="19"/>
        <v>0</v>
      </c>
    </row>
    <row r="231" spans="1:6" x14ac:dyDescent="0.25">
      <c r="A231" s="1">
        <f t="shared" si="16"/>
        <v>444</v>
      </c>
      <c r="B231" s="1">
        <f t="shared" si="17"/>
        <v>1.2294737459040417E-3</v>
      </c>
      <c r="C231" s="1">
        <f t="shared" si="18"/>
        <v>-7.1596401874469964E-3</v>
      </c>
      <c r="D231" s="1">
        <f t="shared" si="15"/>
        <v>1.82288461805528E-4</v>
      </c>
      <c r="E231" s="1">
        <f t="shared" si="19"/>
        <v>0</v>
      </c>
    </row>
    <row r="232" spans="1:6" x14ac:dyDescent="0.25">
      <c r="A232" s="1">
        <f t="shared" si="16"/>
        <v>446</v>
      </c>
      <c r="B232" s="1">
        <f t="shared" si="17"/>
        <v>-1.3089806628989951E-2</v>
      </c>
      <c r="C232" s="1">
        <f t="shared" si="18"/>
        <v>-6.7950632638359406E-3</v>
      </c>
      <c r="D232" s="1">
        <f t="shared" si="15"/>
        <v>2.8420818717692483E-4</v>
      </c>
      <c r="E232" s="1">
        <f t="shared" si="19"/>
        <v>0</v>
      </c>
    </row>
    <row r="233" spans="1:6" x14ac:dyDescent="0.25">
      <c r="A233" s="1">
        <f t="shared" si="16"/>
        <v>448</v>
      </c>
      <c r="B233" s="1">
        <f t="shared" si="17"/>
        <v>-2.6679933156661832E-2</v>
      </c>
      <c r="C233" s="1">
        <f t="shared" si="18"/>
        <v>-6.226646889482091E-3</v>
      </c>
      <c r="D233" s="1">
        <f t="shared" si="15"/>
        <v>3.7497761526008233E-4</v>
      </c>
      <c r="E233" s="1">
        <f t="shared" si="19"/>
        <v>0</v>
      </c>
    </row>
    <row r="234" spans="1:6" x14ac:dyDescent="0.25">
      <c r="A234" s="1">
        <f t="shared" si="16"/>
        <v>450</v>
      </c>
      <c r="B234" s="1">
        <f t="shared" si="17"/>
        <v>-3.9133226935626014E-2</v>
      </c>
      <c r="C234" s="1">
        <f t="shared" si="18"/>
        <v>-5.4766916589619264E-3</v>
      </c>
      <c r="D234" s="1">
        <f t="shared" si="15"/>
        <v>4.5201450655806252E-4</v>
      </c>
      <c r="E234" s="1">
        <v>0</v>
      </c>
      <c r="F234" t="s">
        <v>20</v>
      </c>
    </row>
    <row r="235" spans="1:6" x14ac:dyDescent="0.25">
      <c r="A235" s="1">
        <f t="shared" si="16"/>
        <v>452</v>
      </c>
      <c r="B235" s="1">
        <f t="shared" si="17"/>
        <v>-5.0086610253549865E-2</v>
      </c>
      <c r="C235" s="1">
        <f t="shared" si="18"/>
        <v>-4.5726626458458012E-3</v>
      </c>
      <c r="D235" s="1">
        <f t="shared" si="15"/>
        <v>5.1322291888635635E-4</v>
      </c>
      <c r="E235" s="1">
        <f t="shared" si="19"/>
        <v>0</v>
      </c>
    </row>
    <row r="236" spans="1:6" x14ac:dyDescent="0.25">
      <c r="A236" s="1">
        <f t="shared" si="16"/>
        <v>454</v>
      </c>
      <c r="B236" s="1">
        <f t="shared" si="17"/>
        <v>-5.9231935545241469E-2</v>
      </c>
      <c r="C236" s="1">
        <f t="shared" si="18"/>
        <v>-3.5462168080730885E-3</v>
      </c>
      <c r="D236" s="1">
        <f t="shared" si="15"/>
        <v>5.570477077092422E-4</v>
      </c>
      <c r="E236" s="1">
        <f t="shared" si="19"/>
        <v>0</v>
      </c>
    </row>
    <row r="237" spans="1:6" x14ac:dyDescent="0.25">
      <c r="A237" s="1">
        <f t="shared" si="16"/>
        <v>456</v>
      </c>
      <c r="B237" s="1">
        <f t="shared" si="17"/>
        <v>-6.6324369161387647E-2</v>
      </c>
      <c r="C237" s="1">
        <f t="shared" si="18"/>
        <v>-2.4321213926546039E-3</v>
      </c>
      <c r="D237" s="1">
        <f t="shared" si="15"/>
        <v>5.8251093278196696E-4</v>
      </c>
      <c r="E237" s="1">
        <f t="shared" si="19"/>
        <v>0</v>
      </c>
    </row>
    <row r="238" spans="1:6" x14ac:dyDescent="0.25">
      <c r="A238" s="1">
        <f t="shared" si="16"/>
        <v>458</v>
      </c>
      <c r="B238" s="1">
        <f t="shared" si="17"/>
        <v>-7.1188611946696859E-2</v>
      </c>
      <c r="C238" s="1">
        <f t="shared" si="18"/>
        <v>-1.26709952709067E-3</v>
      </c>
      <c r="D238" s="1">
        <f t="shared" si="15"/>
        <v>5.8922944051026545E-4</v>
      </c>
      <c r="E238" s="1">
        <f t="shared" si="19"/>
        <v>0</v>
      </c>
    </row>
    <row r="239" spans="1:6" x14ac:dyDescent="0.25">
      <c r="A239" s="1">
        <f t="shared" si="16"/>
        <v>460</v>
      </c>
      <c r="B239" s="1">
        <f t="shared" si="17"/>
        <v>-7.3722811000878199E-2</v>
      </c>
      <c r="C239" s="1">
        <f t="shared" si="18"/>
        <v>-8.8640646070139084E-5</v>
      </c>
      <c r="D239" s="1">
        <f t="shared" si="15"/>
        <v>5.7741349512152964E-4</v>
      </c>
      <c r="E239" s="1">
        <f t="shared" si="19"/>
        <v>0</v>
      </c>
    </row>
    <row r="240" spans="1:6" x14ac:dyDescent="0.25">
      <c r="A240" s="1">
        <f t="shared" si="16"/>
        <v>462</v>
      </c>
      <c r="B240" s="1">
        <f t="shared" si="17"/>
        <v>-7.3900092293018471E-2</v>
      </c>
      <c r="C240" s="1">
        <f t="shared" si="18"/>
        <v>1.0661863441729202E-3</v>
      </c>
      <c r="D240" s="1">
        <f t="shared" si="15"/>
        <v>5.4784692586170984E-4</v>
      </c>
      <c r="E240" s="1">
        <f t="shared" si="19"/>
        <v>0</v>
      </c>
    </row>
    <row r="241" spans="1:5" x14ac:dyDescent="0.25">
      <c r="A241" s="1">
        <f t="shared" si="16"/>
        <v>464</v>
      </c>
      <c r="B241" s="1">
        <f t="shared" si="17"/>
        <v>-7.1767719604672625E-2</v>
      </c>
      <c r="C241" s="1">
        <f t="shared" si="18"/>
        <v>2.1618801958963397E-3</v>
      </c>
      <c r="D241" s="1">
        <f t="shared" si="15"/>
        <v>5.0184982366642463E-4</v>
      </c>
      <c r="E241" s="1">
        <f t="shared" si="19"/>
        <v>0</v>
      </c>
    </row>
    <row r="242" spans="1:5" x14ac:dyDescent="0.25">
      <c r="A242" s="1">
        <f t="shared" si="16"/>
        <v>466</v>
      </c>
      <c r="B242" s="1">
        <f t="shared" si="17"/>
        <v>-6.7443959212879948E-2</v>
      </c>
      <c r="C242" s="1">
        <f t="shared" si="18"/>
        <v>3.1655798432291887E-3</v>
      </c>
      <c r="D242" s="1">
        <f t="shared" si="15"/>
        <v>4.4122534206192127E-4</v>
      </c>
      <c r="E242" s="1">
        <f t="shared" si="19"/>
        <v>0</v>
      </c>
    </row>
    <row r="243" spans="1:5" x14ac:dyDescent="0.25">
      <c r="A243" s="1">
        <f t="shared" si="16"/>
        <v>468</v>
      </c>
      <c r="B243" s="1">
        <f t="shared" si="17"/>
        <v>-6.1112799526421568E-2</v>
      </c>
      <c r="C243" s="1">
        <f t="shared" si="18"/>
        <v>4.0480305273530312E-3</v>
      </c>
      <c r="D243" s="1">
        <f t="shared" si="15"/>
        <v>3.6819261817302697E-4</v>
      </c>
      <c r="E243" s="1">
        <f t="shared" si="19"/>
        <v>0</v>
      </c>
    </row>
    <row r="244" spans="1:5" x14ac:dyDescent="0.25">
      <c r="A244" s="1">
        <f t="shared" si="16"/>
        <v>470</v>
      </c>
      <c r="B244" s="1">
        <f t="shared" si="17"/>
        <v>-5.3016738471715508E-2</v>
      </c>
      <c r="C244" s="1">
        <f t="shared" si="18"/>
        <v>4.7844157636990851E-3</v>
      </c>
      <c r="D244" s="1">
        <f t="shared" si="15"/>
        <v>2.8530821761224546E-4</v>
      </c>
      <c r="E244" s="1">
        <f t="shared" si="19"/>
        <v>0</v>
      </c>
    </row>
    <row r="245" spans="1:5" x14ac:dyDescent="0.25">
      <c r="A245" s="1">
        <f t="shared" si="16"/>
        <v>472</v>
      </c>
      <c r="B245" s="1">
        <f t="shared" si="17"/>
        <v>-4.3447906944317341E-2</v>
      </c>
      <c r="C245" s="1">
        <f t="shared" si="18"/>
        <v>5.3550321989235764E-3</v>
      </c>
      <c r="D245" s="1">
        <f t="shared" si="15"/>
        <v>1.9537881123452342E-4</v>
      </c>
      <c r="E245" s="1">
        <f t="shared" si="19"/>
        <v>0</v>
      </c>
    </row>
    <row r="246" spans="1:5" x14ac:dyDescent="0.25">
      <c r="A246" s="1">
        <f t="shared" si="16"/>
        <v>474</v>
      </c>
      <c r="B246" s="1">
        <f t="shared" si="17"/>
        <v>-3.2737842546470192E-2</v>
      </c>
      <c r="C246" s="1">
        <f t="shared" si="18"/>
        <v>5.7457898213926235E-3</v>
      </c>
      <c r="D246" s="1">
        <f t="shared" si="15"/>
        <v>1.0136800464914517E-4</v>
      </c>
      <c r="E246" s="1">
        <f t="shared" si="19"/>
        <v>0</v>
      </c>
    </row>
    <row r="247" spans="1:5" x14ac:dyDescent="0.25">
      <c r="A247" s="1">
        <f t="shared" si="16"/>
        <v>476</v>
      </c>
      <c r="B247" s="1">
        <f t="shared" si="17"/>
        <v>-2.1246262903684945E-2</v>
      </c>
      <c r="C247" s="1">
        <f t="shared" si="18"/>
        <v>5.9485258306909141E-3</v>
      </c>
      <c r="D247" s="1">
        <f t="shared" si="15"/>
        <v>6.3003583862260412E-6</v>
      </c>
      <c r="E247" s="1">
        <f t="shared" si="19"/>
        <v>0</v>
      </c>
    </row>
    <row r="248" spans="1:5" x14ac:dyDescent="0.25">
      <c r="A248" s="1">
        <f t="shared" si="16"/>
        <v>478</v>
      </c>
      <c r="B248" s="1">
        <f t="shared" si="17"/>
        <v>-9.3492112423031164E-3</v>
      </c>
      <c r="C248" s="1">
        <f t="shared" si="18"/>
        <v>5.9611265474633661E-3</v>
      </c>
      <c r="D248" s="1">
        <f t="shared" si="15"/>
        <v>-8.683434378205392E-5</v>
      </c>
      <c r="E248" s="1">
        <f t="shared" si="19"/>
        <v>0</v>
      </c>
    </row>
    <row r="249" spans="1:5" x14ac:dyDescent="0.25">
      <c r="A249" s="1">
        <f t="shared" si="16"/>
        <v>480</v>
      </c>
      <c r="B249" s="1">
        <f t="shared" si="17"/>
        <v>2.5730418526236157E-3</v>
      </c>
      <c r="C249" s="1">
        <f t="shared" si="18"/>
        <v>5.7874578598992579E-3</v>
      </c>
      <c r="D249" s="1">
        <f t="shared" si="15"/>
        <v>-1.7517359709576434E-4</v>
      </c>
      <c r="E249" s="1">
        <f t="shared" si="19"/>
        <v>0</v>
      </c>
    </row>
    <row r="250" spans="1:5" x14ac:dyDescent="0.25">
      <c r="A250" s="1">
        <f t="shared" si="16"/>
        <v>482</v>
      </c>
      <c r="B250" s="1">
        <f t="shared" si="17"/>
        <v>1.4147957572422131E-2</v>
      </c>
      <c r="C250" s="1">
        <f t="shared" si="18"/>
        <v>5.4371106657077296E-3</v>
      </c>
      <c r="D250" s="1">
        <f t="shared" si="15"/>
        <v>-2.5606863490585979E-4</v>
      </c>
      <c r="E250" s="1">
        <f t="shared" si="19"/>
        <v>0</v>
      </c>
    </row>
    <row r="251" spans="1:5" x14ac:dyDescent="0.25">
      <c r="A251" s="1">
        <f t="shared" si="16"/>
        <v>484</v>
      </c>
      <c r="B251" s="1">
        <f t="shared" si="17"/>
        <v>2.5022178903837591E-2</v>
      </c>
      <c r="C251" s="1">
        <f t="shared" si="18"/>
        <v>4.9249733958960096E-3</v>
      </c>
      <c r="D251" s="1">
        <f t="shared" si="15"/>
        <v>-3.2716228245994626E-4</v>
      </c>
      <c r="E251" s="1">
        <f t="shared" si="19"/>
        <v>0</v>
      </c>
    </row>
    <row r="252" spans="1:5" x14ac:dyDescent="0.25">
      <c r="A252" s="1">
        <f t="shared" si="16"/>
        <v>486</v>
      </c>
      <c r="B252" s="1">
        <f t="shared" si="17"/>
        <v>3.4872125695629613E-2</v>
      </c>
      <c r="C252" s="1">
        <f t="shared" si="18"/>
        <v>4.2706488309761171E-3</v>
      </c>
      <c r="D252" s="1">
        <f t="shared" si="15"/>
        <v>-3.8645596909607093E-4</v>
      </c>
      <c r="E252" s="1">
        <f t="shared" si="19"/>
        <v>0</v>
      </c>
    </row>
    <row r="253" spans="1:5" x14ac:dyDescent="0.25">
      <c r="A253" s="1">
        <f t="shared" si="16"/>
        <v>488</v>
      </c>
      <c r="B253" s="1">
        <f t="shared" si="17"/>
        <v>4.3413423357581846E-2</v>
      </c>
      <c r="C253" s="1">
        <f t="shared" si="18"/>
        <v>3.4977368927839752E-3</v>
      </c>
      <c r="D253" s="1">
        <f t="shared" si="15"/>
        <v>-4.3236405091574891E-4</v>
      </c>
      <c r="E253" s="1">
        <f t="shared" si="19"/>
        <v>0</v>
      </c>
    </row>
    <row r="254" spans="1:5" x14ac:dyDescent="0.25">
      <c r="A254" s="1">
        <f t="shared" si="16"/>
        <v>490</v>
      </c>
      <c r="B254" s="1">
        <f t="shared" si="17"/>
        <v>5.0408897143149799E-2</v>
      </c>
      <c r="C254" s="1">
        <f t="shared" si="18"/>
        <v>2.6330087909524772E-3</v>
      </c>
      <c r="D254" s="1">
        <f t="shared" si="15"/>
        <v>-4.6375403331409479E-4</v>
      </c>
      <c r="E254" s="1">
        <f t="shared" si="19"/>
        <v>0</v>
      </c>
    </row>
    <row r="255" spans="1:5" x14ac:dyDescent="0.25">
      <c r="A255" s="1">
        <f t="shared" si="16"/>
        <v>492</v>
      </c>
      <c r="B255" s="1">
        <f t="shared" si="17"/>
        <v>5.5674914725054751E-2</v>
      </c>
      <c r="C255" s="1">
        <f t="shared" si="18"/>
        <v>1.7055007243242876E-3</v>
      </c>
      <c r="D255" s="1">
        <f t="shared" si="15"/>
        <v>-4.7997175426731792E-4</v>
      </c>
      <c r="E255" s="1">
        <f t="shared" si="19"/>
        <v>0</v>
      </c>
    </row>
    <row r="256" spans="1:5" x14ac:dyDescent="0.25">
      <c r="A256" s="1">
        <f t="shared" si="16"/>
        <v>494</v>
      </c>
      <c r="B256" s="1">
        <f t="shared" si="17"/>
        <v>5.9085916173703325E-2</v>
      </c>
      <c r="C256" s="1">
        <f t="shared" si="18"/>
        <v>7.4555721578965176E-4</v>
      </c>
      <c r="D256" s="1">
        <f t="shared" si="15"/>
        <v>-4.8085107953804859E-4</v>
      </c>
      <c r="E256" s="1">
        <f t="shared" si="19"/>
        <v>0</v>
      </c>
    </row>
    <row r="257" spans="1:5" x14ac:dyDescent="0.25">
      <c r="A257" s="1">
        <f t="shared" si="16"/>
        <v>496</v>
      </c>
      <c r="B257" s="1">
        <f t="shared" si="17"/>
        <v>6.0577030605282627E-2</v>
      </c>
      <c r="C257" s="1">
        <f t="shared" si="18"/>
        <v>-2.1614494328644541E-4</v>
      </c>
      <c r="D257" s="1">
        <f t="shared" si="15"/>
        <v>-4.6670815424112771E-4</v>
      </c>
      <c r="E257" s="1">
        <f t="shared" si="19"/>
        <v>0</v>
      </c>
    </row>
    <row r="258" spans="1:5" x14ac:dyDescent="0.25">
      <c r="A258" s="1">
        <f t="shared" si="16"/>
        <v>498</v>
      </c>
      <c r="B258" s="1">
        <f t="shared" si="17"/>
        <v>6.0144740718709733E-2</v>
      </c>
      <c r="C258" s="1">
        <f t="shared" si="18"/>
        <v>-1.1495612517687008E-3</v>
      </c>
      <c r="D258" s="1">
        <f t="shared" si="15"/>
        <v>-4.3832073605853472E-4</v>
      </c>
      <c r="E258" s="1">
        <f t="shared" si="19"/>
        <v>0</v>
      </c>
    </row>
    <row r="259" spans="1:5" x14ac:dyDescent="0.25">
      <c r="A259" s="1">
        <f t="shared" si="16"/>
        <v>500</v>
      </c>
      <c r="B259" s="1">
        <f t="shared" si="17"/>
        <v>5.7845618215172333E-2</v>
      </c>
      <c r="C259" s="1">
        <f t="shared" si="18"/>
        <v>-2.0262027238857703E-3</v>
      </c>
      <c r="D259" s="1">
        <f t="shared" si="15"/>
        <v>-3.9689358907820554E-4</v>
      </c>
      <c r="E259" s="1">
        <f t="shared" si="19"/>
        <v>0</v>
      </c>
    </row>
    <row r="260" spans="1:5" x14ac:dyDescent="0.25">
      <c r="A260" s="1">
        <f t="shared" si="16"/>
        <v>502</v>
      </c>
      <c r="B260" s="1">
        <f t="shared" si="17"/>
        <v>5.3793212767400789E-2</v>
      </c>
      <c r="C260" s="1">
        <f t="shared" si="18"/>
        <v>-2.8199899020421816E-3</v>
      </c>
      <c r="D260" s="1">
        <f t="shared" si="15"/>
        <v>-3.4401133021099567E-4</v>
      </c>
      <c r="E260" s="1">
        <f t="shared" si="19"/>
        <v>0</v>
      </c>
    </row>
    <row r="261" spans="1:5" x14ac:dyDescent="0.25">
      <c r="A261" s="1">
        <f t="shared" si="16"/>
        <v>504</v>
      </c>
      <c r="B261" s="1">
        <f t="shared" si="17"/>
        <v>4.8153232963316424E-2</v>
      </c>
      <c r="C261" s="1">
        <f t="shared" si="18"/>
        <v>-3.5080125624641729E-3</v>
      </c>
      <c r="D261" s="1">
        <f t="shared" si="15"/>
        <v>-2.8158048043982825E-4</v>
      </c>
      <c r="E261" s="1">
        <f t="shared" si="19"/>
        <v>0</v>
      </c>
    </row>
    <row r="262" spans="1:5" x14ac:dyDescent="0.25">
      <c r="A262" s="1">
        <f t="shared" si="16"/>
        <v>506</v>
      </c>
      <c r="B262" s="1">
        <f t="shared" si="17"/>
        <v>4.1137207838388076E-2</v>
      </c>
      <c r="C262" s="1">
        <f t="shared" si="18"/>
        <v>-4.0711735233438292E-3</v>
      </c>
      <c r="D262" s="1">
        <f t="shared" si="15"/>
        <v>-2.1176277071381237E-4</v>
      </c>
      <c r="E262" s="1">
        <f t="shared" si="19"/>
        <v>0</v>
      </c>
    </row>
    <row r="263" spans="1:5" x14ac:dyDescent="0.25">
      <c r="A263" s="1">
        <f t="shared" si="16"/>
        <v>508</v>
      </c>
      <c r="B263" s="1">
        <f t="shared" si="17"/>
        <v>3.2994860791700414E-2</v>
      </c>
      <c r="C263" s="1">
        <f t="shared" si="18"/>
        <v>-4.4946990647714543E-3</v>
      </c>
      <c r="D263" s="1">
        <f t="shared" si="15"/>
        <v>-1.3690197923938826E-4</v>
      </c>
      <c r="E263" s="1">
        <f t="shared" si="19"/>
        <v>0</v>
      </c>
    </row>
    <row r="264" spans="1:5" x14ac:dyDescent="0.25">
      <c r="A264" s="1">
        <f t="shared" si="16"/>
        <v>510</v>
      </c>
      <c r="B264" s="1">
        <f t="shared" si="17"/>
        <v>2.4005462662157508E-2</v>
      </c>
      <c r="C264" s="1">
        <f t="shared" si="18"/>
        <v>-4.7685030232502311E-3</v>
      </c>
      <c r="D264" s="1">
        <f t="shared" si="15"/>
        <v>-5.9446727741722352E-5</v>
      </c>
      <c r="E264" s="1">
        <f t="shared" si="19"/>
        <v>0</v>
      </c>
    </row>
    <row r="265" spans="1:5" x14ac:dyDescent="0.25">
      <c r="A265" s="1">
        <f t="shared" si="16"/>
        <v>512</v>
      </c>
      <c r="B265" s="1">
        <f t="shared" si="17"/>
        <v>1.4468456615657046E-2</v>
      </c>
      <c r="C265" s="1">
        <f t="shared" si="18"/>
        <v>-4.8873964787336755E-3</v>
      </c>
      <c r="D265" s="1">
        <f t="shared" ref="D265:D328" si="20">-k*(B265-E265)/m-(b+bb)*C265</f>
        <v>1.8128264027937561E-5</v>
      </c>
      <c r="E265" s="1">
        <f t="shared" si="19"/>
        <v>0</v>
      </c>
    </row>
    <row r="266" spans="1:5" x14ac:dyDescent="0.25">
      <c r="A266" s="1">
        <f t="shared" ref="A266:A329" si="21">A265+dt</f>
        <v>514</v>
      </c>
      <c r="B266" s="1">
        <f t="shared" ref="B266:B329" si="22">B265+C265*dt</f>
        <v>4.6936636581896944E-3</v>
      </c>
      <c r="C266" s="1">
        <f t="shared" ref="C266:C329" si="23">C265+D265*dt</f>
        <v>-4.8511399506778003E-3</v>
      </c>
      <c r="D266" s="1">
        <f t="shared" si="20"/>
        <v>9.3399974144285438E-5</v>
      </c>
      <c r="E266" s="1">
        <f t="shared" si="19"/>
        <v>0</v>
      </c>
    </row>
    <row r="267" spans="1:5" x14ac:dyDescent="0.25">
      <c r="A267" s="1">
        <f t="shared" si="21"/>
        <v>516</v>
      </c>
      <c r="B267" s="1">
        <f t="shared" si="22"/>
        <v>-5.0086162431659063E-3</v>
      </c>
      <c r="C267" s="1">
        <f t="shared" si="23"/>
        <v>-4.6643400023892298E-3</v>
      </c>
      <c r="D267" s="1">
        <f t="shared" si="20"/>
        <v>1.6407151876072544E-4</v>
      </c>
      <c r="E267" s="1">
        <f t="shared" ref="E267:E330" si="24">E266</f>
        <v>0</v>
      </c>
    </row>
    <row r="268" spans="1:5" x14ac:dyDescent="0.25">
      <c r="A268" s="1">
        <f t="shared" si="21"/>
        <v>518</v>
      </c>
      <c r="B268" s="1">
        <f t="shared" si="22"/>
        <v>-1.4337296247944366E-2</v>
      </c>
      <c r="C268" s="1">
        <f t="shared" si="23"/>
        <v>-4.3361969648677791E-3</v>
      </c>
      <c r="D268" s="1">
        <f t="shared" si="20"/>
        <v>2.2804098939242253E-4</v>
      </c>
      <c r="E268" s="1">
        <f t="shared" si="24"/>
        <v>0</v>
      </c>
    </row>
    <row r="269" spans="1:5" x14ac:dyDescent="0.25">
      <c r="A269" s="1">
        <f t="shared" si="21"/>
        <v>520</v>
      </c>
      <c r="B269" s="1">
        <f t="shared" si="22"/>
        <v>-2.3009690177679926E-2</v>
      </c>
      <c r="C269" s="1">
        <f t="shared" si="23"/>
        <v>-3.8801149860829341E-3</v>
      </c>
      <c r="D269" s="1">
        <f t="shared" si="20"/>
        <v>2.8346266501292602E-4</v>
      </c>
      <c r="E269" s="1">
        <f t="shared" si="24"/>
        <v>0</v>
      </c>
    </row>
    <row r="270" spans="1:5" x14ac:dyDescent="0.25">
      <c r="A270" s="1">
        <f t="shared" si="21"/>
        <v>522</v>
      </c>
      <c r="B270" s="1">
        <f t="shared" si="22"/>
        <v>-3.0769920149845795E-2</v>
      </c>
      <c r="C270" s="1">
        <f t="shared" si="23"/>
        <v>-3.3131896560570822E-3</v>
      </c>
      <c r="D270" s="1">
        <f t="shared" si="20"/>
        <v>3.2879885995112696E-4</v>
      </c>
      <c r="E270" s="1">
        <f t="shared" si="24"/>
        <v>0</v>
      </c>
    </row>
    <row r="271" spans="1:5" x14ac:dyDescent="0.25">
      <c r="A271" s="1">
        <f t="shared" si="21"/>
        <v>524</v>
      </c>
      <c r="B271" s="1">
        <f t="shared" si="22"/>
        <v>-3.7396299461959957E-2</v>
      </c>
      <c r="C271" s="1">
        <f t="shared" si="23"/>
        <v>-2.6555919361548283E-3</v>
      </c>
      <c r="D271" s="1">
        <f t="shared" si="20"/>
        <v>3.6286099969223709E-4</v>
      </c>
      <c r="E271" s="1">
        <f t="shared" si="24"/>
        <v>0</v>
      </c>
    </row>
    <row r="272" spans="1:5" x14ac:dyDescent="0.25">
      <c r="A272" s="1">
        <f t="shared" si="21"/>
        <v>526</v>
      </c>
      <c r="B272" s="1">
        <f t="shared" si="22"/>
        <v>-4.2707483334269616E-2</v>
      </c>
      <c r="C272" s="1">
        <f t="shared" si="23"/>
        <v>-1.9298699367703541E-3</v>
      </c>
      <c r="D272" s="1">
        <f t="shared" si="20"/>
        <v>3.8483888431274849E-4</v>
      </c>
      <c r="E272" s="1">
        <f t="shared" si="24"/>
        <v>0</v>
      </c>
    </row>
    <row r="273" spans="1:5" x14ac:dyDescent="0.25">
      <c r="A273" s="1">
        <f t="shared" si="21"/>
        <v>528</v>
      </c>
      <c r="B273" s="1">
        <f t="shared" si="22"/>
        <v>-4.6567223207810322E-2</v>
      </c>
      <c r="C273" s="1">
        <f t="shared" si="23"/>
        <v>-1.160192168144857E-3</v>
      </c>
      <c r="D273" s="1">
        <f t="shared" si="20"/>
        <v>3.9431749112720264E-4</v>
      </c>
      <c r="E273" s="1">
        <f t="shared" si="24"/>
        <v>0</v>
      </c>
    </row>
    <row r="274" spans="1:5" x14ac:dyDescent="0.25">
      <c r="A274" s="1">
        <f t="shared" si="21"/>
        <v>530</v>
      </c>
      <c r="B274" s="1">
        <f t="shared" si="22"/>
        <v>-4.8887607544100035E-2</v>
      </c>
      <c r="C274" s="1">
        <f t="shared" si="23"/>
        <v>-3.7155718589045169E-4</v>
      </c>
      <c r="D274" s="1">
        <f t="shared" si="20"/>
        <v>3.9128107142584435E-4</v>
      </c>
      <c r="E274" s="1">
        <f t="shared" si="24"/>
        <v>0</v>
      </c>
    </row>
    <row r="275" spans="1:5" x14ac:dyDescent="0.25">
      <c r="A275" s="1">
        <f t="shared" si="21"/>
        <v>532</v>
      </c>
      <c r="B275" s="1">
        <f t="shared" si="22"/>
        <v>-4.9630721915880936E-2</v>
      </c>
      <c r="C275" s="1">
        <f t="shared" si="23"/>
        <v>4.11004956961237E-4</v>
      </c>
      <c r="D275" s="1">
        <f t="shared" si="20"/>
        <v>3.7610469809731009E-4</v>
      </c>
      <c r="E275" s="1">
        <f t="shared" si="24"/>
        <v>0</v>
      </c>
    </row>
    <row r="276" spans="1:5" x14ac:dyDescent="0.25">
      <c r="A276" s="1">
        <f t="shared" si="21"/>
        <v>534</v>
      </c>
      <c r="B276" s="1">
        <f t="shared" si="22"/>
        <v>-4.8808712001958465E-2</v>
      </c>
      <c r="C276" s="1">
        <f t="shared" si="23"/>
        <v>1.1632143531558571E-3</v>
      </c>
      <c r="D276" s="1">
        <f t="shared" si="20"/>
        <v>3.4953380895069903E-4</v>
      </c>
      <c r="E276" s="1">
        <f t="shared" si="24"/>
        <v>0</v>
      </c>
    </row>
    <row r="277" spans="1:5" x14ac:dyDescent="0.25">
      <c r="A277" s="1">
        <f t="shared" si="21"/>
        <v>536</v>
      </c>
      <c r="B277" s="1">
        <f t="shared" si="22"/>
        <v>-4.6482283295646749E-2</v>
      </c>
      <c r="C277" s="1">
        <f t="shared" si="23"/>
        <v>1.8622819710572551E-3</v>
      </c>
      <c r="D277" s="1">
        <f t="shared" si="20"/>
        <v>3.1265265288171019E-4</v>
      </c>
      <c r="E277" s="1">
        <f t="shared" si="24"/>
        <v>0</v>
      </c>
    </row>
    <row r="278" spans="1:5" x14ac:dyDescent="0.25">
      <c r="A278" s="1">
        <f t="shared" si="21"/>
        <v>538</v>
      </c>
      <c r="B278" s="1">
        <f t="shared" si="22"/>
        <v>-4.2757719353532238E-2</v>
      </c>
      <c r="C278" s="1">
        <f t="shared" si="23"/>
        <v>2.4875872768206756E-3</v>
      </c>
      <c r="D278" s="1">
        <f t="shared" si="20"/>
        <v>2.668428719387573E-4</v>
      </c>
      <c r="E278" s="1">
        <f t="shared" si="24"/>
        <v>0</v>
      </c>
    </row>
    <row r="279" spans="1:5" x14ac:dyDescent="0.25">
      <c r="A279" s="1">
        <f t="shared" si="21"/>
        <v>540</v>
      </c>
      <c r="B279" s="1">
        <f t="shared" si="22"/>
        <v>-3.7782544799890884E-2</v>
      </c>
      <c r="C279" s="1">
        <f t="shared" si="23"/>
        <v>3.0212730206981902E-3</v>
      </c>
      <c r="D279" s="1">
        <f t="shared" si="20"/>
        <v>2.1373373248443738E-4</v>
      </c>
      <c r="E279" s="1">
        <f t="shared" si="24"/>
        <v>0</v>
      </c>
    </row>
    <row r="280" spans="1:5" x14ac:dyDescent="0.25">
      <c r="A280" s="1">
        <f t="shared" si="21"/>
        <v>542</v>
      </c>
      <c r="B280" s="1">
        <f t="shared" si="22"/>
        <v>-3.1739998758494502E-2</v>
      </c>
      <c r="C280" s="1">
        <f t="shared" si="23"/>
        <v>3.4487404856670652E-3</v>
      </c>
      <c r="D280" s="1">
        <f t="shared" si="20"/>
        <v>1.5514574530037974E-4</v>
      </c>
      <c r="E280" s="1">
        <f t="shared" si="24"/>
        <v>0</v>
      </c>
    </row>
    <row r="281" spans="1:5" x14ac:dyDescent="0.25">
      <c r="A281" s="1">
        <f t="shared" si="21"/>
        <v>544</v>
      </c>
      <c r="B281" s="1">
        <f t="shared" si="22"/>
        <v>-2.4842517787160373E-2</v>
      </c>
      <c r="C281" s="1">
        <f t="shared" si="23"/>
        <v>3.7590319762678247E-3</v>
      </c>
      <c r="D281" s="1">
        <f t="shared" si="20"/>
        <v>9.302958177587321E-5</v>
      </c>
      <c r="E281" s="1">
        <f t="shared" si="24"/>
        <v>0</v>
      </c>
    </row>
    <row r="282" spans="1:5" x14ac:dyDescent="0.25">
      <c r="A282" s="1">
        <f t="shared" si="21"/>
        <v>546</v>
      </c>
      <c r="B282" s="1">
        <f t="shared" si="22"/>
        <v>-1.7324453834624724E-2</v>
      </c>
      <c r="C282" s="1">
        <f t="shared" si="23"/>
        <v>3.9450911398195712E-3</v>
      </c>
      <c r="D282" s="1">
        <f t="shared" si="20"/>
        <v>2.9402297362908332E-5</v>
      </c>
      <c r="E282" s="1">
        <f t="shared" si="24"/>
        <v>0</v>
      </c>
    </row>
    <row r="283" spans="1:5" x14ac:dyDescent="0.25">
      <c r="A283" s="1">
        <f t="shared" si="21"/>
        <v>548</v>
      </c>
      <c r="B283" s="1">
        <f t="shared" si="22"/>
        <v>-9.4342715549855811E-3</v>
      </c>
      <c r="C283" s="1">
        <f t="shared" si="23"/>
        <v>4.0038957345453876E-3</v>
      </c>
      <c r="D283" s="1">
        <f t="shared" si="20"/>
        <v>-3.3717087556928859E-5</v>
      </c>
      <c r="E283" s="1">
        <f t="shared" si="24"/>
        <v>0</v>
      </c>
    </row>
    <row r="284" spans="1:5" x14ac:dyDescent="0.25">
      <c r="A284" s="1">
        <f t="shared" si="21"/>
        <v>550</v>
      </c>
      <c r="B284" s="1">
        <f t="shared" si="22"/>
        <v>-1.426480085894806E-3</v>
      </c>
      <c r="C284" s="1">
        <f t="shared" si="23"/>
        <v>3.9364615594315302E-3</v>
      </c>
      <c r="D284" s="1">
        <f t="shared" si="20"/>
        <v>-9.4370625122785519E-5</v>
      </c>
      <c r="E284" s="1">
        <f t="shared" si="24"/>
        <v>0</v>
      </c>
    </row>
    <row r="285" spans="1:5" x14ac:dyDescent="0.25">
      <c r="A285" s="1">
        <f t="shared" si="21"/>
        <v>552</v>
      </c>
      <c r="B285" s="1">
        <f t="shared" si="22"/>
        <v>6.4464430329682545E-3</v>
      </c>
      <c r="C285" s="1">
        <f t="shared" si="23"/>
        <v>3.7477203091859593E-3</v>
      </c>
      <c r="D285" s="1">
        <f t="shared" si="20"/>
        <v>-1.5072115994333609E-4</v>
      </c>
      <c r="E285" s="1">
        <f t="shared" si="24"/>
        <v>0</v>
      </c>
    </row>
    <row r="286" spans="1:5" x14ac:dyDescent="0.25">
      <c r="A286" s="1">
        <f t="shared" si="21"/>
        <v>554</v>
      </c>
      <c r="B286" s="1">
        <f t="shared" si="22"/>
        <v>1.3941883651340173E-2</v>
      </c>
      <c r="C286" s="1">
        <f t="shared" si="23"/>
        <v>3.4462779892992872E-3</v>
      </c>
      <c r="D286" s="1">
        <f t="shared" si="20"/>
        <v>-2.0110694259367422E-4</v>
      </c>
      <c r="E286" s="1">
        <f t="shared" si="24"/>
        <v>0</v>
      </c>
    </row>
    <row r="287" spans="1:5" x14ac:dyDescent="0.25">
      <c r="A287" s="1">
        <f t="shared" si="21"/>
        <v>556</v>
      </c>
      <c r="B287" s="1">
        <f t="shared" si="22"/>
        <v>2.0834439629938747E-2</v>
      </c>
      <c r="C287" s="1">
        <f t="shared" si="23"/>
        <v>3.0440641041119387E-3</v>
      </c>
      <c r="D287" s="1">
        <f t="shared" si="20"/>
        <v>-2.4408954710372218E-4</v>
      </c>
      <c r="E287" s="1">
        <f t="shared" si="24"/>
        <v>0</v>
      </c>
    </row>
    <row r="288" spans="1:5" x14ac:dyDescent="0.25">
      <c r="A288" s="1">
        <f t="shared" si="21"/>
        <v>558</v>
      </c>
      <c r="B288" s="1">
        <f t="shared" si="22"/>
        <v>2.6922567838162624E-2</v>
      </c>
      <c r="C288" s="1">
        <f t="shared" si="23"/>
        <v>2.5558850099044943E-3</v>
      </c>
      <c r="D288" s="1">
        <f t="shared" si="20"/>
        <v>-2.784937474031089E-4</v>
      </c>
      <c r="E288" s="1">
        <f t="shared" si="24"/>
        <v>0</v>
      </c>
    </row>
    <row r="289" spans="1:5" x14ac:dyDescent="0.25">
      <c r="A289" s="1">
        <f t="shared" si="21"/>
        <v>560</v>
      </c>
      <c r="B289" s="1">
        <f t="shared" si="22"/>
        <v>3.2034337857971613E-2</v>
      </c>
      <c r="C289" s="1">
        <f t="shared" si="23"/>
        <v>1.9988975150982764E-3</v>
      </c>
      <c r="D289" s="1">
        <f t="shared" si="20"/>
        <v>-3.0343828869681234E-4</v>
      </c>
      <c r="E289" s="1">
        <f t="shared" si="24"/>
        <v>0</v>
      </c>
    </row>
    <row r="290" spans="1:5" x14ac:dyDescent="0.25">
      <c r="A290" s="1">
        <f t="shared" si="21"/>
        <v>562</v>
      </c>
      <c r="B290" s="1">
        <f t="shared" si="22"/>
        <v>3.6032132888168165E-2</v>
      </c>
      <c r="C290" s="1">
        <f t="shared" si="23"/>
        <v>1.3920209377046517E-3</v>
      </c>
      <c r="D290" s="1">
        <f t="shared" si="20"/>
        <v>-3.1835679765819638E-4</v>
      </c>
      <c r="E290" s="1">
        <f t="shared" si="24"/>
        <v>0</v>
      </c>
    </row>
    <row r="291" spans="1:5" x14ac:dyDescent="0.25">
      <c r="A291" s="1">
        <f t="shared" si="21"/>
        <v>564</v>
      </c>
      <c r="B291" s="1">
        <f t="shared" si="22"/>
        <v>3.8816174763577467E-2</v>
      </c>
      <c r="C291" s="1">
        <f t="shared" si="23"/>
        <v>7.553073423882589E-4</v>
      </c>
      <c r="D291" s="1">
        <f t="shared" si="20"/>
        <v>-3.2300839993190959E-4</v>
      </c>
      <c r="E291" s="1">
        <f t="shared" si="24"/>
        <v>0</v>
      </c>
    </row>
    <row r="292" spans="1:5" x14ac:dyDescent="0.25">
      <c r="A292" s="1">
        <f t="shared" si="21"/>
        <v>566</v>
      </c>
      <c r="B292" s="1">
        <f t="shared" si="22"/>
        <v>4.0326789448353988E-2</v>
      </c>
      <c r="C292" s="1">
        <f t="shared" si="23"/>
        <v>1.0929054252443971E-4</v>
      </c>
      <c r="D292" s="1">
        <f t="shared" si="20"/>
        <v>-3.1747794423681611E-4</v>
      </c>
      <c r="E292" s="1">
        <f t="shared" si="24"/>
        <v>0</v>
      </c>
    </row>
    <row r="293" spans="1:5" x14ac:dyDescent="0.25">
      <c r="A293" s="1">
        <f t="shared" si="21"/>
        <v>568</v>
      </c>
      <c r="B293" s="1">
        <f t="shared" si="22"/>
        <v>4.0545370533402868E-2</v>
      </c>
      <c r="C293" s="1">
        <f t="shared" si="23"/>
        <v>-5.256653459491925E-4</v>
      </c>
      <c r="D293" s="1">
        <f t="shared" si="20"/>
        <v>-3.0216605888910397E-4</v>
      </c>
      <c r="E293" s="1">
        <f t="shared" si="24"/>
        <v>0</v>
      </c>
    </row>
    <row r="294" spans="1:5" x14ac:dyDescent="0.25">
      <c r="A294" s="1">
        <f t="shared" si="21"/>
        <v>570</v>
      </c>
      <c r="B294" s="1">
        <f t="shared" si="22"/>
        <v>3.9494039841504486E-2</v>
      </c>
      <c r="C294" s="1">
        <f t="shared" si="23"/>
        <v>-1.1299974637274004E-3</v>
      </c>
      <c r="D294" s="1">
        <f t="shared" si="20"/>
        <v>-2.7776957873584064E-4</v>
      </c>
      <c r="E294" s="1">
        <f t="shared" si="24"/>
        <v>0</v>
      </c>
    </row>
    <row r="295" spans="1:5" x14ac:dyDescent="0.25">
      <c r="A295" s="1">
        <f t="shared" si="21"/>
        <v>572</v>
      </c>
      <c r="B295" s="1">
        <f t="shared" si="22"/>
        <v>3.7234044914049684E-2</v>
      </c>
      <c r="C295" s="1">
        <f t="shared" si="23"/>
        <v>-1.6855366211990818E-3</v>
      </c>
      <c r="D295" s="1">
        <f t="shared" si="20"/>
        <v>-2.4525316888145214E-4</v>
      </c>
      <c r="E295" s="1">
        <f t="shared" si="24"/>
        <v>0</v>
      </c>
    </row>
    <row r="296" spans="1:5" x14ac:dyDescent="0.25">
      <c r="A296" s="1">
        <f t="shared" si="21"/>
        <v>574</v>
      </c>
      <c r="B296" s="1">
        <f t="shared" si="22"/>
        <v>3.3862971671651518E-2</v>
      </c>
      <c r="C296" s="1">
        <f t="shared" si="23"/>
        <v>-2.1760429589619862E-3</v>
      </c>
      <c r="D296" s="1">
        <f t="shared" si="20"/>
        <v>-2.0581322773870059E-4</v>
      </c>
      <c r="E296" s="1">
        <f t="shared" si="24"/>
        <v>0</v>
      </c>
    </row>
    <row r="297" spans="1:5" x14ac:dyDescent="0.25">
      <c r="A297" s="1">
        <f t="shared" si="21"/>
        <v>576</v>
      </c>
      <c r="B297" s="1">
        <f t="shared" si="22"/>
        <v>2.9510885753727546E-2</v>
      </c>
      <c r="C297" s="1">
        <f t="shared" si="23"/>
        <v>-2.5876694144393872E-3</v>
      </c>
      <c r="D297" s="1">
        <f t="shared" si="20"/>
        <v>-1.6083536857209926E-4</v>
      </c>
      <c r="E297" s="1">
        <f t="shared" si="24"/>
        <v>0</v>
      </c>
    </row>
    <row r="298" spans="1:5" x14ac:dyDescent="0.25">
      <c r="A298" s="1">
        <f t="shared" si="21"/>
        <v>578</v>
      </c>
      <c r="B298" s="1">
        <f t="shared" si="22"/>
        <v>2.4335546924848774E-2</v>
      </c>
      <c r="C298" s="1">
        <f t="shared" si="23"/>
        <v>-2.9093401515835858E-3</v>
      </c>
      <c r="D298" s="1">
        <f t="shared" si="20"/>
        <v>-1.1184694995138033E-4</v>
      </c>
      <c r="E298" s="1">
        <f t="shared" si="24"/>
        <v>0</v>
      </c>
    </row>
    <row r="299" spans="1:5" x14ac:dyDescent="0.25">
      <c r="A299" s="1">
        <f t="shared" si="21"/>
        <v>580</v>
      </c>
      <c r="B299" s="1">
        <f t="shared" si="22"/>
        <v>1.8516866621681602E-2</v>
      </c>
      <c r="C299" s="1">
        <f t="shared" si="23"/>
        <v>-3.1330340514863463E-3</v>
      </c>
      <c r="D299" s="1">
        <f t="shared" si="20"/>
        <v>-6.0466247069282392E-5</v>
      </c>
      <c r="E299" s="1">
        <f t="shared" si="24"/>
        <v>0</v>
      </c>
    </row>
    <row r="300" spans="1:5" x14ac:dyDescent="0.25">
      <c r="A300" s="1">
        <f t="shared" si="21"/>
        <v>582</v>
      </c>
      <c r="B300" s="1">
        <f t="shared" si="22"/>
        <v>1.2250798518708909E-2</v>
      </c>
      <c r="C300" s="1">
        <f t="shared" si="23"/>
        <v>-3.2539665456249112E-3</v>
      </c>
      <c r="D300" s="1">
        <f t="shared" si="20"/>
        <v>-8.34992502318187E-6</v>
      </c>
      <c r="E300" s="1">
        <f t="shared" si="24"/>
        <v>0</v>
      </c>
    </row>
    <row r="301" spans="1:5" x14ac:dyDescent="0.25">
      <c r="A301" s="1">
        <f t="shared" si="21"/>
        <v>584</v>
      </c>
      <c r="B301" s="1">
        <f t="shared" si="22"/>
        <v>5.742865427459087E-3</v>
      </c>
      <c r="C301" s="1">
        <f t="shared" si="23"/>
        <v>-3.270666395671275E-3</v>
      </c>
      <c r="D301" s="1">
        <f t="shared" si="20"/>
        <v>4.2859509069809301E-5</v>
      </c>
      <c r="E301" s="1">
        <f t="shared" si="24"/>
        <v>0</v>
      </c>
    </row>
    <row r="302" spans="1:5" x14ac:dyDescent="0.25">
      <c r="A302" s="1">
        <f t="shared" si="21"/>
        <v>586</v>
      </c>
      <c r="B302" s="1">
        <f t="shared" si="22"/>
        <v>-7.9846736388346305E-4</v>
      </c>
      <c r="C302" s="1">
        <f t="shared" si="23"/>
        <v>-3.1849473775316566E-3</v>
      </c>
      <c r="D302" s="1">
        <f t="shared" si="20"/>
        <v>9.1584635156139404E-5</v>
      </c>
      <c r="E302" s="1">
        <f t="shared" si="24"/>
        <v>0</v>
      </c>
    </row>
    <row r="303" spans="1:5" x14ac:dyDescent="0.25">
      <c r="A303" s="1">
        <f t="shared" si="21"/>
        <v>588</v>
      </c>
      <c r="B303" s="1">
        <f t="shared" si="22"/>
        <v>-7.1683621189467762E-3</v>
      </c>
      <c r="C303" s="1">
        <f t="shared" si="23"/>
        <v>-3.0017781072193776E-3</v>
      </c>
      <c r="D303" s="1">
        <f t="shared" si="20"/>
        <v>1.3636087780126416E-4</v>
      </c>
      <c r="E303" s="1">
        <f t="shared" si="24"/>
        <v>0</v>
      </c>
    </row>
    <row r="304" spans="1:5" x14ac:dyDescent="0.25">
      <c r="A304" s="1">
        <f t="shared" si="21"/>
        <v>590</v>
      </c>
      <c r="B304" s="1">
        <f t="shared" si="22"/>
        <v>-1.3171918333385532E-2</v>
      </c>
      <c r="C304" s="1">
        <f t="shared" si="23"/>
        <v>-2.729056351616849E-3</v>
      </c>
      <c r="D304" s="1">
        <f t="shared" si="20"/>
        <v>1.7587967322373868E-4</v>
      </c>
      <c r="E304" s="1">
        <f t="shared" si="24"/>
        <v>0</v>
      </c>
    </row>
    <row r="305" spans="1:5" x14ac:dyDescent="0.25">
      <c r="A305" s="1">
        <f t="shared" si="21"/>
        <v>592</v>
      </c>
      <c r="B305" s="1">
        <f t="shared" si="22"/>
        <v>-1.863003103661923E-2</v>
      </c>
      <c r="C305" s="1">
        <f t="shared" si="23"/>
        <v>-2.3772970051693714E-3</v>
      </c>
      <c r="D305" s="1">
        <f t="shared" si="20"/>
        <v>2.0902580182416913E-4</v>
      </c>
      <c r="E305" s="1">
        <f t="shared" si="24"/>
        <v>0</v>
      </c>
    </row>
    <row r="306" spans="1:5" x14ac:dyDescent="0.25">
      <c r="A306" s="1">
        <f t="shared" si="21"/>
        <v>594</v>
      </c>
      <c r="B306" s="1">
        <f t="shared" si="22"/>
        <v>-2.3384625046957971E-2</v>
      </c>
      <c r="C306" s="1">
        <f t="shared" si="23"/>
        <v>-1.9592454015210331E-3</v>
      </c>
      <c r="D306" s="1">
        <f t="shared" si="20"/>
        <v>2.3490785212703584E-4</v>
      </c>
      <c r="E306" s="1">
        <f t="shared" si="24"/>
        <v>0</v>
      </c>
    </row>
    <row r="307" spans="1:5" x14ac:dyDescent="0.25">
      <c r="A307" s="1">
        <f t="shared" si="21"/>
        <v>596</v>
      </c>
      <c r="B307" s="1">
        <f t="shared" si="22"/>
        <v>-2.7303115850000038E-2</v>
      </c>
      <c r="C307" s="1">
        <f t="shared" si="23"/>
        <v>-1.4894296972669614E-3</v>
      </c>
      <c r="D307" s="1">
        <f t="shared" si="20"/>
        <v>2.5288101951675485E-4</v>
      </c>
      <c r="E307" s="1">
        <f t="shared" si="24"/>
        <v>0</v>
      </c>
    </row>
    <row r="308" spans="1:5" x14ac:dyDescent="0.25">
      <c r="A308" s="1">
        <f t="shared" si="21"/>
        <v>598</v>
      </c>
      <c r="B308" s="1">
        <f t="shared" si="22"/>
        <v>-3.0281975244533962E-2</v>
      </c>
      <c r="C308" s="1">
        <f t="shared" si="23"/>
        <v>-9.8366765823345182E-4</v>
      </c>
      <c r="D308" s="1">
        <f t="shared" si="20"/>
        <v>2.625617001480214E-4</v>
      </c>
      <c r="E308" s="1">
        <f t="shared" si="24"/>
        <v>0</v>
      </c>
    </row>
    <row r="309" spans="1:5" x14ac:dyDescent="0.25">
      <c r="A309" s="1">
        <f t="shared" si="21"/>
        <v>600</v>
      </c>
      <c r="B309" s="1">
        <f t="shared" si="22"/>
        <v>-3.2249310561000867E-2</v>
      </c>
      <c r="C309" s="1">
        <f t="shared" si="23"/>
        <v>-4.5854425793740903E-4</v>
      </c>
      <c r="D309" s="1">
        <f t="shared" si="20"/>
        <v>2.638336084885293E-4</v>
      </c>
      <c r="E309" s="1">
        <f t="shared" si="24"/>
        <v>0</v>
      </c>
    </row>
    <row r="310" spans="1:5" x14ac:dyDescent="0.25">
      <c r="A310" s="1">
        <f t="shared" si="21"/>
        <v>602</v>
      </c>
      <c r="B310" s="1">
        <f t="shared" si="22"/>
        <v>-3.3166399076875686E-2</v>
      </c>
      <c r="C310" s="1">
        <f t="shared" si="23"/>
        <v>6.9122959039649582E-5</v>
      </c>
      <c r="D310" s="1">
        <f t="shared" si="20"/>
        <v>2.5684541749736769E-4</v>
      </c>
      <c r="E310" s="1">
        <f t="shared" si="24"/>
        <v>0</v>
      </c>
    </row>
    <row r="311" spans="1:5" x14ac:dyDescent="0.25">
      <c r="A311" s="1">
        <f t="shared" si="21"/>
        <v>604</v>
      </c>
      <c r="B311" s="1">
        <f t="shared" si="22"/>
        <v>-3.3028153158796383E-2</v>
      </c>
      <c r="C311" s="1">
        <f t="shared" si="23"/>
        <v>5.8281379403438496E-4</v>
      </c>
      <c r="D311" s="1">
        <f t="shared" si="20"/>
        <v>2.4200018495849028E-4</v>
      </c>
      <c r="E311" s="1">
        <f t="shared" si="24"/>
        <v>0</v>
      </c>
    </row>
    <row r="312" spans="1:5" x14ac:dyDescent="0.25">
      <c r="A312" s="1">
        <f t="shared" si="21"/>
        <v>606</v>
      </c>
      <c r="B312" s="1">
        <f t="shared" si="22"/>
        <v>-3.1862525570727614E-2</v>
      </c>
      <c r="C312" s="1">
        <f t="shared" si="23"/>
        <v>1.0668141639513656E-3</v>
      </c>
      <c r="D312" s="1">
        <f t="shared" si="20"/>
        <v>2.1993707985777875E-4</v>
      </c>
      <c r="E312" s="1">
        <f t="shared" si="24"/>
        <v>0</v>
      </c>
    </row>
    <row r="313" spans="1:5" x14ac:dyDescent="0.25">
      <c r="A313" s="1">
        <f t="shared" si="21"/>
        <v>608</v>
      </c>
      <c r="B313" s="1">
        <f t="shared" si="22"/>
        <v>-2.9728897242824882E-2</v>
      </c>
      <c r="C313" s="1">
        <f t="shared" si="23"/>
        <v>1.5066883236669231E-3</v>
      </c>
      <c r="D313" s="1">
        <f t="shared" si="20"/>
        <v>1.9150615141976055E-4</v>
      </c>
      <c r="E313" s="1">
        <f t="shared" si="24"/>
        <v>0</v>
      </c>
    </row>
    <row r="314" spans="1:5" x14ac:dyDescent="0.25">
      <c r="A314" s="1">
        <f t="shared" si="21"/>
        <v>610</v>
      </c>
      <c r="B314" s="1">
        <f t="shared" si="22"/>
        <v>-2.6715520595491038E-2</v>
      </c>
      <c r="C314" s="1">
        <f t="shared" si="23"/>
        <v>1.8897006265064442E-3</v>
      </c>
      <c r="D314" s="1">
        <f t="shared" si="20"/>
        <v>1.5773708385445737E-4</v>
      </c>
      <c r="E314" s="1">
        <f t="shared" si="24"/>
        <v>0</v>
      </c>
    </row>
    <row r="315" spans="1:5" x14ac:dyDescent="0.25">
      <c r="A315" s="1">
        <f t="shared" si="21"/>
        <v>612</v>
      </c>
      <c r="B315" s="1">
        <f t="shared" si="22"/>
        <v>-2.2936119342478148E-2</v>
      </c>
      <c r="C315" s="1">
        <f t="shared" si="23"/>
        <v>2.2051747942153591E-3</v>
      </c>
      <c r="D315" s="1">
        <f t="shared" si="20"/>
        <v>1.1980304638635792E-4</v>
      </c>
      <c r="E315" s="1">
        <f t="shared" si="24"/>
        <v>0</v>
      </c>
    </row>
    <row r="316" spans="1:5" x14ac:dyDescent="0.25">
      <c r="A316" s="1">
        <f t="shared" si="21"/>
        <v>614</v>
      </c>
      <c r="B316" s="1">
        <f t="shared" si="22"/>
        <v>-1.852576975404743E-2</v>
      </c>
      <c r="C316" s="1">
        <f t="shared" si="23"/>
        <v>2.4447808869880751E-3</v>
      </c>
      <c r="D316" s="1">
        <f t="shared" si="20"/>
        <v>7.898087631028953E-5</v>
      </c>
      <c r="E316" s="1">
        <f t="shared" si="24"/>
        <v>0</v>
      </c>
    </row>
    <row r="317" spans="1:5" x14ac:dyDescent="0.25">
      <c r="A317" s="1">
        <f t="shared" si="21"/>
        <v>616</v>
      </c>
      <c r="B317" s="1">
        <f t="shared" si="22"/>
        <v>-1.3636207980071278E-2</v>
      </c>
      <c r="C317" s="1">
        <f t="shared" si="23"/>
        <v>2.6027426396086541E-3</v>
      </c>
      <c r="D317" s="1">
        <f t="shared" si="20"/>
        <v>3.6608919503044031E-5</v>
      </c>
      <c r="E317" s="1">
        <f t="shared" si="24"/>
        <v>0</v>
      </c>
    </row>
    <row r="318" spans="1:5" x14ac:dyDescent="0.25">
      <c r="A318" s="1">
        <f t="shared" si="21"/>
        <v>618</v>
      </c>
      <c r="B318" s="1">
        <f t="shared" si="22"/>
        <v>-8.4307227008539702E-3</v>
      </c>
      <c r="C318" s="1">
        <f t="shared" si="23"/>
        <v>2.6759604786147423E-3</v>
      </c>
      <c r="D318" s="1">
        <f t="shared" si="20"/>
        <v>-5.9561037602141339E-6</v>
      </c>
      <c r="E318" s="1">
        <f t="shared" si="24"/>
        <v>0</v>
      </c>
    </row>
    <row r="319" spans="1:5" x14ac:dyDescent="0.25">
      <c r="A319" s="1">
        <f t="shared" si="21"/>
        <v>620</v>
      </c>
      <c r="B319" s="1">
        <f t="shared" si="22"/>
        <v>-3.0788017436244857E-3</v>
      </c>
      <c r="C319" s="1">
        <f t="shared" si="23"/>
        <v>2.6640482710943141E-3</v>
      </c>
      <c r="D319" s="1">
        <f t="shared" si="20"/>
        <v>-4.7381840065056634E-5</v>
      </c>
      <c r="E319" s="1">
        <f t="shared" si="24"/>
        <v>0</v>
      </c>
    </row>
    <row r="320" spans="1:5" x14ac:dyDescent="0.25">
      <c r="A320" s="1">
        <f t="shared" si="21"/>
        <v>622</v>
      </c>
      <c r="B320" s="1">
        <f t="shared" si="22"/>
        <v>2.2492947985641425E-3</v>
      </c>
      <c r="C320" s="1">
        <f t="shared" si="23"/>
        <v>2.569284590964201E-3</v>
      </c>
      <c r="D320" s="1">
        <f t="shared" si="20"/>
        <v>-8.64013264666409E-5</v>
      </c>
      <c r="E320" s="1">
        <f t="shared" si="24"/>
        <v>0</v>
      </c>
    </row>
    <row r="321" spans="1:5" x14ac:dyDescent="0.25">
      <c r="A321" s="1">
        <f t="shared" si="21"/>
        <v>624</v>
      </c>
      <c r="B321" s="1">
        <f t="shared" si="22"/>
        <v>7.3878639804925445E-3</v>
      </c>
      <c r="C321" s="1">
        <f t="shared" si="23"/>
        <v>2.3964819380309192E-3</v>
      </c>
      <c r="D321" s="1">
        <f t="shared" si="20"/>
        <v>-1.2185105498707048E-4</v>
      </c>
      <c r="E321" s="1">
        <f t="shared" si="24"/>
        <v>0</v>
      </c>
    </row>
    <row r="322" spans="1:5" x14ac:dyDescent="0.25">
      <c r="A322" s="1">
        <f t="shared" si="21"/>
        <v>626</v>
      </c>
      <c r="B322" s="1">
        <f t="shared" si="22"/>
        <v>1.2180827856554383E-2</v>
      </c>
      <c r="C322" s="1">
        <f t="shared" si="23"/>
        <v>2.1527798280567782E-3</v>
      </c>
      <c r="D322" s="1">
        <f t="shared" si="20"/>
        <v>-1.5270495667304583E-4</v>
      </c>
      <c r="E322" s="1">
        <f t="shared" si="24"/>
        <v>0</v>
      </c>
    </row>
    <row r="323" spans="1:5" x14ac:dyDescent="0.25">
      <c r="A323" s="1">
        <f t="shared" si="21"/>
        <v>628</v>
      </c>
      <c r="B323" s="1">
        <f t="shared" si="22"/>
        <v>1.6486387512667941E-2</v>
      </c>
      <c r="C323" s="1">
        <f t="shared" si="23"/>
        <v>1.8473699147106865E-3</v>
      </c>
      <c r="D323" s="1">
        <f t="shared" si="20"/>
        <v>-1.7810333631305633E-4</v>
      </c>
      <c r="E323" s="1">
        <f t="shared" si="24"/>
        <v>0</v>
      </c>
    </row>
    <row r="324" spans="1:5" x14ac:dyDescent="0.25">
      <c r="A324" s="1">
        <f t="shared" si="21"/>
        <v>630</v>
      </c>
      <c r="B324" s="1">
        <f t="shared" si="22"/>
        <v>2.0181127342089315E-2</v>
      </c>
      <c r="C324" s="1">
        <f t="shared" si="23"/>
        <v>1.491163242084574E-3</v>
      </c>
      <c r="D324" s="1">
        <f t="shared" si="20"/>
        <v>-1.9737596815616322E-4</v>
      </c>
      <c r="E324" s="1">
        <f t="shared" si="24"/>
        <v>0</v>
      </c>
    </row>
    <row r="325" spans="1:5" x14ac:dyDescent="0.25">
      <c r="A325" s="1">
        <f t="shared" si="21"/>
        <v>632</v>
      </c>
      <c r="B325" s="1">
        <f t="shared" si="22"/>
        <v>2.3163453826258465E-2</v>
      </c>
      <c r="C325" s="1">
        <f t="shared" si="23"/>
        <v>1.0964113057722476E-3</v>
      </c>
      <c r="D325" s="1">
        <f t="shared" si="20"/>
        <v>-2.1005876283951226E-4</v>
      </c>
      <c r="E325" s="1">
        <f t="shared" si="24"/>
        <v>0</v>
      </c>
    </row>
    <row r="326" spans="1:5" x14ac:dyDescent="0.25">
      <c r="A326" s="1">
        <f t="shared" si="21"/>
        <v>634</v>
      </c>
      <c r="B326" s="1">
        <f t="shared" si="22"/>
        <v>2.5356276437802961E-2</v>
      </c>
      <c r="C326" s="1">
        <f t="shared" si="23"/>
        <v>6.762937800932231E-4</v>
      </c>
      <c r="D326" s="1">
        <f t="shared" si="20"/>
        <v>-2.1590362952136145E-4</v>
      </c>
      <c r="E326" s="1">
        <f t="shared" si="24"/>
        <v>0</v>
      </c>
    </row>
    <row r="327" spans="1:5" x14ac:dyDescent="0.25">
      <c r="A327" s="1">
        <f t="shared" si="21"/>
        <v>636</v>
      </c>
      <c r="B327" s="1">
        <f t="shared" si="22"/>
        <v>2.6708863997989406E-2</v>
      </c>
      <c r="C327" s="1">
        <f t="shared" si="23"/>
        <v>2.4448652105050019E-4</v>
      </c>
      <c r="D327" s="1">
        <f t="shared" si="20"/>
        <v>-2.1488137794847077E-4</v>
      </c>
      <c r="E327" s="1">
        <f t="shared" si="24"/>
        <v>0</v>
      </c>
    </row>
    <row r="328" spans="1:5" x14ac:dyDescent="0.25">
      <c r="A328" s="1">
        <f t="shared" si="21"/>
        <v>638</v>
      </c>
      <c r="B328" s="1">
        <f t="shared" si="22"/>
        <v>2.7197837040090406E-2</v>
      </c>
      <c r="C328" s="1">
        <f t="shared" si="23"/>
        <v>-1.8527623484644135E-4</v>
      </c>
      <c r="D328" s="1">
        <f t="shared" si="20"/>
        <v>-2.071777258188205E-4</v>
      </c>
      <c r="E328" s="1">
        <f t="shared" si="24"/>
        <v>0</v>
      </c>
    </row>
    <row r="329" spans="1:5" x14ac:dyDescent="0.25">
      <c r="A329" s="1">
        <f t="shared" si="21"/>
        <v>640</v>
      </c>
      <c r="B329" s="1">
        <f t="shared" si="22"/>
        <v>2.6827284570397524E-2</v>
      </c>
      <c r="C329" s="1">
        <f t="shared" si="23"/>
        <v>-5.9963168648408235E-4</v>
      </c>
      <c r="D329" s="1">
        <f t="shared" ref="D329:D392" si="25">-k*(B329-E329)/m-(b+bb)*C329</f>
        <v>-1.9318269045132726E-4</v>
      </c>
      <c r="E329" s="1">
        <f t="shared" si="24"/>
        <v>0</v>
      </c>
    </row>
    <row r="330" spans="1:5" x14ac:dyDescent="0.25">
      <c r="A330" s="1">
        <f t="shared" ref="A330:A393" si="26">A329+dt</f>
        <v>642</v>
      </c>
      <c r="B330" s="1">
        <f t="shared" ref="B330:B393" si="27">B329+C329*dt</f>
        <v>2.5628021197429358E-2</v>
      </c>
      <c r="C330" s="1">
        <f t="shared" ref="C330:C393" si="28">C329+D329*dt</f>
        <v>-9.8599706738673699E-4</v>
      </c>
      <c r="D330" s="1">
        <f t="shared" si="25"/>
        <v>-1.7347384393398443E-4</v>
      </c>
      <c r="E330" s="1">
        <f t="shared" si="24"/>
        <v>0</v>
      </c>
    </row>
    <row r="331" spans="1:5" x14ac:dyDescent="0.25">
      <c r="A331" s="1">
        <f t="shared" si="26"/>
        <v>644</v>
      </c>
      <c r="B331" s="1">
        <f t="shared" si="27"/>
        <v>2.3656027062655884E-2</v>
      </c>
      <c r="C331" s="1">
        <f t="shared" si="28"/>
        <v>-1.332944755254706E-3</v>
      </c>
      <c r="D331" s="1">
        <f t="shared" si="25"/>
        <v>-1.4879409164788977E-4</v>
      </c>
      <c r="E331" s="1">
        <f t="shared" ref="E331:E394" si="29">E330</f>
        <v>0</v>
      </c>
    </row>
    <row r="332" spans="1:5" x14ac:dyDescent="0.25">
      <c r="A332" s="1">
        <f t="shared" si="26"/>
        <v>646</v>
      </c>
      <c r="B332" s="1">
        <f t="shared" si="27"/>
        <v>2.0990137552146473E-2</v>
      </c>
      <c r="C332" s="1">
        <f t="shared" si="28"/>
        <v>-1.6305329385504855E-3</v>
      </c>
      <c r="D332" s="1">
        <f t="shared" si="25"/>
        <v>-1.2002479015358949E-4</v>
      </c>
      <c r="E332" s="1">
        <f t="shared" si="29"/>
        <v>0</v>
      </c>
    </row>
    <row r="333" spans="1:5" x14ac:dyDescent="0.25">
      <c r="A333" s="1">
        <f t="shared" si="26"/>
        <v>648</v>
      </c>
      <c r="B333" s="1">
        <f t="shared" si="27"/>
        <v>1.7729071675045501E-2</v>
      </c>
      <c r="C333" s="1">
        <f t="shared" si="28"/>
        <v>-1.8705825188576645E-3</v>
      </c>
      <c r="D333" s="1">
        <f t="shared" si="25"/>
        <v>-8.8155147559969478E-5</v>
      </c>
      <c r="E333" s="1">
        <f t="shared" si="29"/>
        <v>0</v>
      </c>
    </row>
    <row r="334" spans="1:5" x14ac:dyDescent="0.25">
      <c r="A334" s="1">
        <f t="shared" si="26"/>
        <v>650</v>
      </c>
      <c r="B334" s="1">
        <f t="shared" si="27"/>
        <v>1.3987906637330173E-2</v>
      </c>
      <c r="C334" s="1">
        <f t="shared" si="28"/>
        <v>-2.0468928139776034E-3</v>
      </c>
      <c r="D334" s="1">
        <f t="shared" si="25"/>
        <v>-5.424894435657557E-5</v>
      </c>
      <c r="E334" s="1">
        <f t="shared" si="29"/>
        <v>0</v>
      </c>
    </row>
    <row r="335" spans="1:5" x14ac:dyDescent="0.25">
      <c r="A335" s="1">
        <f t="shared" si="26"/>
        <v>652</v>
      </c>
      <c r="B335" s="1">
        <f t="shared" si="27"/>
        <v>9.8941210093749649E-3</v>
      </c>
      <c r="C335" s="1">
        <f t="shared" si="28"/>
        <v>-2.1553907026907546E-3</v>
      </c>
      <c r="D335" s="1">
        <f t="shared" si="25"/>
        <v>-1.9409673041012493E-5</v>
      </c>
      <c r="E335" s="1">
        <f t="shared" si="29"/>
        <v>0</v>
      </c>
    </row>
    <row r="336" spans="1:5" x14ac:dyDescent="0.25">
      <c r="A336" s="1">
        <f t="shared" si="26"/>
        <v>654</v>
      </c>
      <c r="B336" s="1">
        <f t="shared" si="27"/>
        <v>5.5833396039934556E-3</v>
      </c>
      <c r="C336" s="1">
        <f t="shared" si="28"/>
        <v>-2.1942100487727795E-3</v>
      </c>
      <c r="D336" s="1">
        <f t="shared" si="25"/>
        <v>1.5254780395961544E-5</v>
      </c>
      <c r="E336" s="1">
        <f t="shared" si="29"/>
        <v>0</v>
      </c>
    </row>
    <row r="337" spans="1:5" x14ac:dyDescent="0.25">
      <c r="A337" s="1">
        <f t="shared" si="26"/>
        <v>656</v>
      </c>
      <c r="B337" s="1">
        <f t="shared" si="27"/>
        <v>1.1949195064478967E-3</v>
      </c>
      <c r="C337" s="1">
        <f t="shared" si="28"/>
        <v>-2.1637004879808564E-3</v>
      </c>
      <c r="D337" s="1">
        <f t="shared" si="25"/>
        <v>4.8666800927593363E-5</v>
      </c>
      <c r="E337" s="1">
        <f t="shared" si="29"/>
        <v>0</v>
      </c>
    </row>
    <row r="338" spans="1:5" x14ac:dyDescent="0.25">
      <c r="A338" s="1">
        <f t="shared" si="26"/>
        <v>658</v>
      </c>
      <c r="B338" s="1">
        <f t="shared" si="27"/>
        <v>-3.1324814695138162E-3</v>
      </c>
      <c r="C338" s="1">
        <f t="shared" si="28"/>
        <v>-2.0663668861256698E-3</v>
      </c>
      <c r="D338" s="1">
        <f t="shared" si="25"/>
        <v>7.9811988010375715E-5</v>
      </c>
      <c r="E338" s="1">
        <f t="shared" si="29"/>
        <v>0</v>
      </c>
    </row>
    <row r="339" spans="1:5" x14ac:dyDescent="0.25">
      <c r="A339" s="1">
        <f t="shared" si="26"/>
        <v>660</v>
      </c>
      <c r="B339" s="1">
        <f t="shared" si="27"/>
        <v>-7.2652152417651559E-3</v>
      </c>
      <c r="C339" s="1">
        <f t="shared" si="28"/>
        <v>-1.9067429101049184E-3</v>
      </c>
      <c r="D339" s="1">
        <f t="shared" si="25"/>
        <v>1.0776938887658003E-4</v>
      </c>
      <c r="E339" s="1">
        <f t="shared" si="29"/>
        <v>0</v>
      </c>
    </row>
    <row r="340" spans="1:5" x14ac:dyDescent="0.25">
      <c r="A340" s="1">
        <f t="shared" si="26"/>
        <v>662</v>
      </c>
      <c r="B340" s="1">
        <f t="shared" si="27"/>
        <v>-1.1078701061974993E-2</v>
      </c>
      <c r="C340" s="1">
        <f t="shared" si="28"/>
        <v>-1.6912041323517584E-3</v>
      </c>
      <c r="D340" s="1">
        <f t="shared" si="25"/>
        <v>1.3173813903043206E-4</v>
      </c>
      <c r="E340" s="1">
        <f t="shared" si="29"/>
        <v>0</v>
      </c>
    </row>
    <row r="341" spans="1:5" x14ac:dyDescent="0.25">
      <c r="A341" s="1">
        <f t="shared" si="26"/>
        <v>664</v>
      </c>
      <c r="B341" s="1">
        <f t="shared" si="27"/>
        <v>-1.446110932667851E-2</v>
      </c>
      <c r="C341" s="1">
        <f t="shared" si="28"/>
        <v>-1.4277278542908943E-3</v>
      </c>
      <c r="D341" s="1">
        <f t="shared" si="25"/>
        <v>1.5105975924308834E-4</v>
      </c>
      <c r="E341" s="1">
        <f t="shared" si="29"/>
        <v>0</v>
      </c>
    </row>
    <row r="342" spans="1:5" x14ac:dyDescent="0.25">
      <c r="A342" s="1">
        <f t="shared" si="26"/>
        <v>666</v>
      </c>
      <c r="B342" s="1">
        <f t="shared" si="27"/>
        <v>-1.7316565035260301E-2</v>
      </c>
      <c r="C342" s="1">
        <f t="shared" si="28"/>
        <v>-1.1256083358047175E-3</v>
      </c>
      <c r="D342" s="1">
        <f t="shared" si="25"/>
        <v>1.6523551067459678E-4</v>
      </c>
      <c r="E342" s="1">
        <f t="shared" si="29"/>
        <v>0</v>
      </c>
    </row>
    <row r="343" spans="1:5" x14ac:dyDescent="0.25">
      <c r="A343" s="1">
        <f t="shared" si="26"/>
        <v>668</v>
      </c>
      <c r="B343" s="1">
        <f t="shared" si="27"/>
        <v>-1.9567781706869736E-2</v>
      </c>
      <c r="C343" s="1">
        <f t="shared" si="28"/>
        <v>-7.9513731445552392E-4</v>
      </c>
      <c r="D343" s="1">
        <f t="shared" si="25"/>
        <v>1.7393837734099198E-4</v>
      </c>
      <c r="E343" s="1">
        <f t="shared" si="29"/>
        <v>0</v>
      </c>
    </row>
    <row r="344" spans="1:5" x14ac:dyDescent="0.25">
      <c r="A344" s="1">
        <f t="shared" si="26"/>
        <v>670</v>
      </c>
      <c r="B344" s="1">
        <f t="shared" si="27"/>
        <v>-2.1158056335780783E-2</v>
      </c>
      <c r="C344" s="1">
        <f t="shared" si="28"/>
        <v>-4.4726055977353996E-4</v>
      </c>
      <c r="D344" s="1">
        <f t="shared" si="25"/>
        <v>1.7701942242102098E-4</v>
      </c>
      <c r="E344" s="1">
        <f t="shared" si="29"/>
        <v>0</v>
      </c>
    </row>
    <row r="345" spans="1:5" x14ac:dyDescent="0.25">
      <c r="A345" s="1">
        <f t="shared" si="26"/>
        <v>672</v>
      </c>
      <c r="B345" s="1">
        <f t="shared" si="27"/>
        <v>-2.2052577455327863E-2</v>
      </c>
      <c r="C345" s="1">
        <f t="shared" si="28"/>
        <v>-9.3221714931498003E-5</v>
      </c>
      <c r="D345" s="1">
        <f t="shared" si="25"/>
        <v>1.7450844611172146E-4</v>
      </c>
      <c r="E345" s="1">
        <f t="shared" si="29"/>
        <v>0</v>
      </c>
    </row>
    <row r="346" spans="1:5" x14ac:dyDescent="0.25">
      <c r="A346" s="1">
        <f t="shared" si="26"/>
        <v>674</v>
      </c>
      <c r="B346" s="1">
        <f t="shared" si="27"/>
        <v>-2.223902088519086E-2</v>
      </c>
      <c r="C346" s="1">
        <f t="shared" si="28"/>
        <v>2.5579517729194492E-4</v>
      </c>
      <c r="D346" s="1">
        <f t="shared" si="25"/>
        <v>1.6660905215306457E-4</v>
      </c>
      <c r="E346" s="1">
        <f t="shared" si="29"/>
        <v>0</v>
      </c>
    </row>
    <row r="347" spans="1:5" x14ac:dyDescent="0.25">
      <c r="A347" s="1">
        <f t="shared" si="26"/>
        <v>676</v>
      </c>
      <c r="B347" s="1">
        <f t="shared" si="27"/>
        <v>-2.1727430530606971E-2</v>
      </c>
      <c r="C347" s="1">
        <f t="shared" si="28"/>
        <v>5.8901328159807406E-4</v>
      </c>
      <c r="D347" s="1">
        <f t="shared" si="25"/>
        <v>1.5368840219190597E-4</v>
      </c>
      <c r="E347" s="1">
        <f t="shared" si="29"/>
        <v>0</v>
      </c>
    </row>
    <row r="348" spans="1:5" x14ac:dyDescent="0.25">
      <c r="A348" s="1">
        <f t="shared" si="26"/>
        <v>678</v>
      </c>
      <c r="B348" s="1">
        <f t="shared" si="27"/>
        <v>-2.0549403967410822E-2</v>
      </c>
      <c r="C348" s="1">
        <f t="shared" si="28"/>
        <v>8.9639008598188605E-4</v>
      </c>
      <c r="D348" s="1">
        <f t="shared" si="25"/>
        <v>1.3626209664148985E-4</v>
      </c>
      <c r="E348" s="1">
        <f t="shared" si="29"/>
        <v>0</v>
      </c>
    </row>
    <row r="349" spans="1:5" x14ac:dyDescent="0.25">
      <c r="A349" s="1">
        <f t="shared" si="26"/>
        <v>680</v>
      </c>
      <c r="B349" s="1">
        <f t="shared" si="27"/>
        <v>-1.8756623795447049E-2</v>
      </c>
      <c r="C349" s="1">
        <f t="shared" si="28"/>
        <v>1.1689142792648656E-3</v>
      </c>
      <c r="D349" s="1">
        <f t="shared" si="25"/>
        <v>1.1497476292018856E-4</v>
      </c>
      <c r="E349" s="1">
        <f t="shared" si="29"/>
        <v>0</v>
      </c>
    </row>
    <row r="350" spans="1:5" x14ac:dyDescent="0.25">
      <c r="A350" s="1">
        <f t="shared" si="26"/>
        <v>682</v>
      </c>
      <c r="B350" s="1">
        <f t="shared" si="27"/>
        <v>-1.6418795236917319E-2</v>
      </c>
      <c r="C350" s="1">
        <f t="shared" si="28"/>
        <v>1.3988638051052426E-3</v>
      </c>
      <c r="D350" s="1">
        <f t="shared" si="25"/>
        <v>9.0577052871134564E-5</v>
      </c>
      <c r="E350" s="1">
        <f t="shared" si="29"/>
        <v>0</v>
      </c>
    </row>
    <row r="351" spans="1:5" x14ac:dyDescent="0.25">
      <c r="A351" s="1">
        <f t="shared" si="26"/>
        <v>684</v>
      </c>
      <c r="B351" s="1">
        <f t="shared" si="27"/>
        <v>-1.3621067626706833E-2</v>
      </c>
      <c r="C351" s="1">
        <f t="shared" si="28"/>
        <v>1.5800179108475117E-3</v>
      </c>
      <c r="D351" s="1">
        <f t="shared" si="25"/>
        <v>6.3899847477599971E-5</v>
      </c>
      <c r="E351" s="1">
        <f t="shared" si="29"/>
        <v>0</v>
      </c>
    </row>
    <row r="352" spans="1:5" x14ac:dyDescent="0.25">
      <c r="A352" s="1">
        <f t="shared" si="26"/>
        <v>686</v>
      </c>
      <c r="B352" s="1">
        <f t="shared" si="27"/>
        <v>-1.046103180501181E-2</v>
      </c>
      <c r="C352" s="1">
        <f t="shared" si="28"/>
        <v>1.7078176058027117E-3</v>
      </c>
      <c r="D352" s="1">
        <f t="shared" si="25"/>
        <v>3.5826536243579433E-5</v>
      </c>
      <c r="E352" s="1">
        <f t="shared" si="29"/>
        <v>0</v>
      </c>
    </row>
    <row r="353" spans="1:5" x14ac:dyDescent="0.25">
      <c r="A353" s="1">
        <f t="shared" si="26"/>
        <v>688</v>
      </c>
      <c r="B353" s="1">
        <f t="shared" si="27"/>
        <v>-7.0453965934063863E-3</v>
      </c>
      <c r="C353" s="1">
        <f t="shared" si="28"/>
        <v>1.7794706782898707E-3</v>
      </c>
      <c r="D353" s="1">
        <f t="shared" si="25"/>
        <v>7.2642792504012691E-6</v>
      </c>
      <c r="E353" s="1">
        <f t="shared" si="29"/>
        <v>0</v>
      </c>
    </row>
    <row r="354" spans="1:5" x14ac:dyDescent="0.25">
      <c r="A354" s="1">
        <f t="shared" si="26"/>
        <v>690</v>
      </c>
      <c r="B354" s="1">
        <f t="shared" si="27"/>
        <v>-3.4864552368266449E-3</v>
      </c>
      <c r="C354" s="1">
        <f t="shared" si="28"/>
        <v>1.7939992367906731E-3</v>
      </c>
      <c r="D354" s="1">
        <f t="shared" si="25"/>
        <v>-2.0884828698742208E-5</v>
      </c>
      <c r="E354" s="1">
        <f t="shared" si="29"/>
        <v>0</v>
      </c>
    </row>
    <row r="355" spans="1:5" x14ac:dyDescent="0.25">
      <c r="A355" s="1">
        <f t="shared" si="26"/>
        <v>692</v>
      </c>
      <c r="B355" s="1">
        <f t="shared" si="27"/>
        <v>1.0154323675470129E-4</v>
      </c>
      <c r="C355" s="1">
        <f t="shared" si="28"/>
        <v>1.7522295793931887E-3</v>
      </c>
      <c r="D355" s="1">
        <f t="shared" si="25"/>
        <v>-4.7751789974424123E-5</v>
      </c>
      <c r="E355" s="1">
        <f t="shared" si="29"/>
        <v>0</v>
      </c>
    </row>
    <row r="356" spans="1:5" x14ac:dyDescent="0.25">
      <c r="A356" s="1">
        <f t="shared" si="26"/>
        <v>694</v>
      </c>
      <c r="B356" s="1">
        <f t="shared" si="27"/>
        <v>3.6060023955410787E-3</v>
      </c>
      <c r="C356" s="1">
        <f t="shared" si="28"/>
        <v>1.6567259994443404E-3</v>
      </c>
      <c r="D356" s="1">
        <f t="shared" si="25"/>
        <v>-7.2527075470328736E-5</v>
      </c>
      <c r="E356" s="1">
        <f t="shared" si="29"/>
        <v>0</v>
      </c>
    </row>
    <row r="357" spans="1:5" x14ac:dyDescent="0.25">
      <c r="A357" s="1">
        <f t="shared" si="26"/>
        <v>696</v>
      </c>
      <c r="B357" s="1">
        <f t="shared" si="27"/>
        <v>6.9194543944297599E-3</v>
      </c>
      <c r="C357" s="1">
        <f t="shared" si="28"/>
        <v>1.5116718485036829E-3</v>
      </c>
      <c r="D357" s="1">
        <f t="shared" si="25"/>
        <v>-9.448454981645083E-5</v>
      </c>
      <c r="E357" s="1">
        <f t="shared" si="29"/>
        <v>0</v>
      </c>
    </row>
    <row r="358" spans="1:5" x14ac:dyDescent="0.25">
      <c r="A358" s="1">
        <f t="shared" si="26"/>
        <v>698</v>
      </c>
      <c r="B358" s="1">
        <f t="shared" si="27"/>
        <v>9.9427980914371262E-3</v>
      </c>
      <c r="C358" s="1">
        <f t="shared" si="28"/>
        <v>1.3227027488707812E-3</v>
      </c>
      <c r="D358" s="1">
        <f t="shared" si="25"/>
        <v>-1.1300225878294651E-4</v>
      </c>
      <c r="E358" s="1">
        <f t="shared" si="29"/>
        <v>0</v>
      </c>
    </row>
    <row r="359" spans="1:5" x14ac:dyDescent="0.25">
      <c r="A359" s="1">
        <f t="shared" si="26"/>
        <v>700</v>
      </c>
      <c r="B359" s="1">
        <f t="shared" si="27"/>
        <v>1.2588203589178688E-2</v>
      </c>
      <c r="C359" s="1">
        <f t="shared" si="28"/>
        <v>1.0966982313048881E-3</v>
      </c>
      <c r="D359" s="1">
        <f t="shared" si="25"/>
        <v>-1.2757950059456475E-4</v>
      </c>
      <c r="E359" s="1">
        <f t="shared" si="29"/>
        <v>0</v>
      </c>
    </row>
    <row r="360" spans="1:5" x14ac:dyDescent="0.25">
      <c r="A360" s="1">
        <f t="shared" si="26"/>
        <v>702</v>
      </c>
      <c r="B360" s="1">
        <f t="shared" si="27"/>
        <v>1.4781600051788465E-2</v>
      </c>
      <c r="C360" s="1">
        <f t="shared" si="28"/>
        <v>8.4153923011575857E-4</v>
      </c>
      <c r="D360" s="1">
        <f t="shared" si="25"/>
        <v>-1.3784973177105234E-4</v>
      </c>
      <c r="E360" s="1">
        <f t="shared" si="29"/>
        <v>0</v>
      </c>
    </row>
    <row r="361" spans="1:5" x14ac:dyDescent="0.25">
      <c r="A361" s="1">
        <f t="shared" si="26"/>
        <v>704</v>
      </c>
      <c r="B361" s="1">
        <f t="shared" si="27"/>
        <v>1.6464678512019982E-2</v>
      </c>
      <c r="C361" s="1">
        <f t="shared" si="28"/>
        <v>5.6583976657365389E-4</v>
      </c>
      <c r="D361" s="1">
        <f t="shared" si="25"/>
        <v>-1.4358899813792978E-4</v>
      </c>
      <c r="E361" s="1">
        <f t="shared" si="29"/>
        <v>0</v>
      </c>
    </row>
    <row r="362" spans="1:5" x14ac:dyDescent="0.25">
      <c r="A362" s="1">
        <f t="shared" si="26"/>
        <v>706</v>
      </c>
      <c r="B362" s="1">
        <f t="shared" si="27"/>
        <v>1.7596358045167289E-2</v>
      </c>
      <c r="C362" s="1">
        <f t="shared" si="28"/>
        <v>2.7866177029779433E-4</v>
      </c>
      <c r="D362" s="1">
        <f t="shared" si="25"/>
        <v>-1.4471972819628574E-4</v>
      </c>
      <c r="E362" s="1">
        <f t="shared" si="29"/>
        <v>0</v>
      </c>
    </row>
    <row r="363" spans="1:5" x14ac:dyDescent="0.25">
      <c r="A363" s="1">
        <f t="shared" si="26"/>
        <v>708</v>
      </c>
      <c r="B363" s="1">
        <f t="shared" si="27"/>
        <v>1.8153681585762877E-2</v>
      </c>
      <c r="C363" s="1">
        <f t="shared" si="28"/>
        <v>-1.0777686094777137E-5</v>
      </c>
      <c r="D363" s="1">
        <f t="shared" si="25"/>
        <v>-1.4130987438161041E-4</v>
      </c>
      <c r="E363" s="1">
        <f t="shared" si="29"/>
        <v>0</v>
      </c>
    </row>
    <row r="364" spans="1:5" x14ac:dyDescent="0.25">
      <c r="A364" s="1">
        <f t="shared" si="26"/>
        <v>710</v>
      </c>
      <c r="B364" s="1">
        <f t="shared" si="27"/>
        <v>1.8132126213573324E-2</v>
      </c>
      <c r="C364" s="1">
        <f t="shared" si="28"/>
        <v>-2.9339743485799796E-4</v>
      </c>
      <c r="D364" s="1">
        <f t="shared" si="25"/>
        <v>-1.3356753321167757E-4</v>
      </c>
      <c r="E364" s="1">
        <f t="shared" si="29"/>
        <v>0</v>
      </c>
    </row>
    <row r="365" spans="1:5" x14ac:dyDescent="0.25">
      <c r="A365" s="1">
        <f t="shared" si="26"/>
        <v>712</v>
      </c>
      <c r="B365" s="1">
        <f t="shared" si="27"/>
        <v>1.7545331343857329E-2</v>
      </c>
      <c r="C365" s="1">
        <f t="shared" si="28"/>
        <v>-5.605325012813531E-4</v>
      </c>
      <c r="D365" s="1">
        <f t="shared" si="25"/>
        <v>-1.218313134477469E-4</v>
      </c>
      <c r="E365" s="1">
        <f t="shared" si="29"/>
        <v>0</v>
      </c>
    </row>
    <row r="366" spans="1:5" x14ac:dyDescent="0.25">
      <c r="A366" s="1">
        <f t="shared" si="26"/>
        <v>714</v>
      </c>
      <c r="B366" s="1">
        <f t="shared" si="27"/>
        <v>1.6424266341294624E-2</v>
      </c>
      <c r="C366" s="1">
        <f t="shared" si="28"/>
        <v>-8.0419512817684691E-4</v>
      </c>
      <c r="D366" s="1">
        <f t="shared" si="25"/>
        <v>-1.0655684802695857E-4</v>
      </c>
      <c r="E366" s="1">
        <f t="shared" si="29"/>
        <v>0</v>
      </c>
    </row>
    <row r="367" spans="1:5" x14ac:dyDescent="0.25">
      <c r="A367" s="1">
        <f t="shared" si="26"/>
        <v>716</v>
      </c>
      <c r="B367" s="1">
        <f t="shared" si="27"/>
        <v>1.4815876084940931E-2</v>
      </c>
      <c r="C367" s="1">
        <f t="shared" si="28"/>
        <v>-1.0173088242307641E-3</v>
      </c>
      <c r="D367" s="1">
        <f t="shared" si="25"/>
        <v>-8.8299956973154789E-5</v>
      </c>
      <c r="E367" s="1">
        <f t="shared" si="29"/>
        <v>0</v>
      </c>
    </row>
    <row r="368" spans="1:5" x14ac:dyDescent="0.25">
      <c r="A368" s="1">
        <f t="shared" si="26"/>
        <v>718</v>
      </c>
      <c r="B368" s="1">
        <f t="shared" si="27"/>
        <v>1.2781258436479403E-2</v>
      </c>
      <c r="C368" s="1">
        <f t="shared" si="28"/>
        <v>-1.1939087381770738E-3</v>
      </c>
      <c r="D368" s="1">
        <f t="shared" si="25"/>
        <v>-6.7697061621393764E-5</v>
      </c>
      <c r="E368" s="1">
        <f t="shared" si="29"/>
        <v>0</v>
      </c>
    </row>
    <row r="369" spans="1:5" x14ac:dyDescent="0.25">
      <c r="A369" s="1">
        <f t="shared" si="26"/>
        <v>720</v>
      </c>
      <c r="B369" s="1">
        <f t="shared" si="27"/>
        <v>1.0393440960125256E-2</v>
      </c>
      <c r="C369" s="1">
        <f t="shared" si="28"/>
        <v>-1.3293028614198613E-3</v>
      </c>
      <c r="D369" s="1">
        <f t="shared" si="25"/>
        <v>-4.5443522802924709E-5</v>
      </c>
      <c r="E369" s="1">
        <f t="shared" si="29"/>
        <v>0</v>
      </c>
    </row>
    <row r="370" spans="1:5" x14ac:dyDescent="0.25">
      <c r="A370" s="1">
        <f t="shared" si="26"/>
        <v>722</v>
      </c>
      <c r="B370" s="1">
        <f t="shared" si="27"/>
        <v>7.734835237285533E-3</v>
      </c>
      <c r="C370" s="1">
        <f t="shared" si="28"/>
        <v>-1.4201899070257107E-3</v>
      </c>
      <c r="D370" s="1">
        <f t="shared" si="25"/>
        <v>-2.227062534253811E-5</v>
      </c>
      <c r="E370" s="1">
        <f t="shared" si="29"/>
        <v>0</v>
      </c>
    </row>
    <row r="371" spans="1:5" x14ac:dyDescent="0.25">
      <c r="A371" s="1">
        <f t="shared" si="26"/>
        <v>724</v>
      </c>
      <c r="B371" s="1">
        <f t="shared" si="27"/>
        <v>4.8944554232341116E-3</v>
      </c>
      <c r="C371" s="1">
        <f t="shared" si="28"/>
        <v>-1.4647311577107869E-3</v>
      </c>
      <c r="D371" s="1">
        <f t="shared" si="25"/>
        <v>1.078042725423018E-6</v>
      </c>
      <c r="E371" s="1">
        <f t="shared" si="29"/>
        <v>0</v>
      </c>
    </row>
    <row r="372" spans="1:5" x14ac:dyDescent="0.25">
      <c r="A372" s="1">
        <f t="shared" si="26"/>
        <v>726</v>
      </c>
      <c r="B372" s="1">
        <f t="shared" si="27"/>
        <v>1.9649931078125379E-3</v>
      </c>
      <c r="C372" s="1">
        <f t="shared" si="28"/>
        <v>-1.4625750722599409E-3</v>
      </c>
      <c r="D372" s="1">
        <f t="shared" si="25"/>
        <v>2.3870065695628621E-5</v>
      </c>
      <c r="E372" s="1">
        <f t="shared" si="29"/>
        <v>0</v>
      </c>
    </row>
    <row r="373" spans="1:5" x14ac:dyDescent="0.25">
      <c r="A373" s="1">
        <f t="shared" si="26"/>
        <v>728</v>
      </c>
      <c r="B373" s="1">
        <f t="shared" si="27"/>
        <v>-9.6015703670734387E-4</v>
      </c>
      <c r="C373" s="1">
        <f t="shared" si="28"/>
        <v>-1.4148349408686838E-3</v>
      </c>
      <c r="D373" s="1">
        <f t="shared" si="25"/>
        <v>4.5406801301598003E-5</v>
      </c>
      <c r="E373" s="1">
        <f t="shared" si="29"/>
        <v>0</v>
      </c>
    </row>
    <row r="374" spans="1:5" x14ac:dyDescent="0.25">
      <c r="A374" s="1">
        <f t="shared" si="26"/>
        <v>730</v>
      </c>
      <c r="B374" s="1">
        <f t="shared" si="27"/>
        <v>-3.7898269184447114E-3</v>
      </c>
      <c r="C374" s="1">
        <f t="shared" si="28"/>
        <v>-1.3240213382654878E-3</v>
      </c>
      <c r="D374" s="1">
        <f t="shared" si="25"/>
        <v>6.5044421829383824E-5</v>
      </c>
      <c r="E374" s="1">
        <f t="shared" si="29"/>
        <v>0</v>
      </c>
    </row>
    <row r="375" spans="1:5" x14ac:dyDescent="0.25">
      <c r="A375" s="1">
        <f t="shared" si="26"/>
        <v>732</v>
      </c>
      <c r="B375" s="1">
        <f t="shared" si="27"/>
        <v>-6.4378695949756874E-3</v>
      </c>
      <c r="C375" s="1">
        <f t="shared" si="28"/>
        <v>-1.1939324946067201E-3</v>
      </c>
      <c r="D375" s="1">
        <f t="shared" si="25"/>
        <v>8.2212773696270454E-5</v>
      </c>
      <c r="E375" s="1">
        <f t="shared" si="29"/>
        <v>0</v>
      </c>
    </row>
    <row r="376" spans="1:5" x14ac:dyDescent="0.25">
      <c r="A376" s="1">
        <f t="shared" si="26"/>
        <v>734</v>
      </c>
      <c r="B376" s="1">
        <f t="shared" si="27"/>
        <v>-8.8257345841891276E-3</v>
      </c>
      <c r="C376" s="1">
        <f t="shared" si="28"/>
        <v>-1.0295069472141792E-3</v>
      </c>
      <c r="D376" s="1">
        <f t="shared" si="25"/>
        <v>9.6431515942015198E-5</v>
      </c>
      <c r="E376" s="1">
        <f t="shared" si="29"/>
        <v>0</v>
      </c>
    </row>
    <row r="377" spans="1:5" x14ac:dyDescent="0.25">
      <c r="A377" s="1">
        <f t="shared" si="26"/>
        <v>736</v>
      </c>
      <c r="B377" s="1">
        <f t="shared" si="27"/>
        <v>-1.0884748478617486E-2</v>
      </c>
      <c r="C377" s="1">
        <f t="shared" si="28"/>
        <v>-8.3664391533014879E-4</v>
      </c>
      <c r="D377" s="1">
        <f t="shared" si="25"/>
        <v>1.0732309506406437E-4</v>
      </c>
      <c r="E377" s="1">
        <f t="shared" si="29"/>
        <v>0</v>
      </c>
    </row>
    <row r="378" spans="1:5" x14ac:dyDescent="0.25">
      <c r="A378" s="1">
        <f t="shared" si="26"/>
        <v>738</v>
      </c>
      <c r="B378" s="1">
        <f t="shared" si="27"/>
        <v>-1.2558036309277784E-2</v>
      </c>
      <c r="C378" s="1">
        <f t="shared" si="28"/>
        <v>-6.2199772520202007E-4</v>
      </c>
      <c r="D378" s="1">
        <f t="shared" si="25"/>
        <v>1.1462222224778085E-4</v>
      </c>
      <c r="E378" s="1">
        <f t="shared" si="29"/>
        <v>0</v>
      </c>
    </row>
    <row r="379" spans="1:5" x14ac:dyDescent="0.25">
      <c r="A379" s="1">
        <f t="shared" si="26"/>
        <v>740</v>
      </c>
      <c r="B379" s="1">
        <f t="shared" si="27"/>
        <v>-1.3802031759681824E-2</v>
      </c>
      <c r="C379" s="1">
        <f t="shared" si="28"/>
        <v>-3.9275328070645837E-4</v>
      </c>
      <c r="D379" s="1">
        <f t="shared" si="25"/>
        <v>1.1818163564845131E-4</v>
      </c>
      <c r="E379" s="1">
        <f t="shared" si="29"/>
        <v>0</v>
      </c>
    </row>
    <row r="380" spans="1:5" x14ac:dyDescent="0.25">
      <c r="A380" s="1">
        <f t="shared" si="26"/>
        <v>742</v>
      </c>
      <c r="B380" s="1">
        <f t="shared" si="27"/>
        <v>-1.458753832109474E-2</v>
      </c>
      <c r="C380" s="1">
        <f t="shared" si="28"/>
        <v>-1.5639000940955575E-4</v>
      </c>
      <c r="D380" s="1">
        <f t="shared" si="25"/>
        <v>1.1797405115671506E-4</v>
      </c>
      <c r="E380" s="1">
        <f t="shared" si="29"/>
        <v>0</v>
      </c>
    </row>
    <row r="381" spans="1:5" x14ac:dyDescent="0.25">
      <c r="A381" s="1">
        <f t="shared" si="26"/>
        <v>744</v>
      </c>
      <c r="B381" s="1">
        <f t="shared" si="27"/>
        <v>-1.4900318339913851E-2</v>
      </c>
      <c r="C381" s="1">
        <f t="shared" si="28"/>
        <v>7.9558092903874372E-5</v>
      </c>
      <c r="D381" s="1">
        <f t="shared" si="25"/>
        <v>1.140903261615042E-4</v>
      </c>
      <c r="E381" s="1">
        <f t="shared" si="29"/>
        <v>0</v>
      </c>
    </row>
    <row r="382" spans="1:5" x14ac:dyDescent="0.25">
      <c r="A382" s="1">
        <f t="shared" si="26"/>
        <v>746</v>
      </c>
      <c r="B382" s="1">
        <f t="shared" si="27"/>
        <v>-1.4741202154106103E-2</v>
      </c>
      <c r="C382" s="1">
        <f t="shared" si="28"/>
        <v>3.0773874522688281E-4</v>
      </c>
      <c r="D382" s="1">
        <f t="shared" si="25"/>
        <v>1.0673397842994714E-4</v>
      </c>
      <c r="E382" s="1">
        <f t="shared" si="29"/>
        <v>0</v>
      </c>
    </row>
    <row r="383" spans="1:5" x14ac:dyDescent="0.25">
      <c r="A383" s="1">
        <f t="shared" si="26"/>
        <v>748</v>
      </c>
      <c r="B383" s="1">
        <f t="shared" si="27"/>
        <v>-1.4125724663652337E-2</v>
      </c>
      <c r="C383" s="1">
        <f t="shared" si="28"/>
        <v>5.2120670208677714E-4</v>
      </c>
      <c r="D383" s="1">
        <f t="shared" si="25"/>
        <v>9.6212312760562599E-5</v>
      </c>
      <c r="E383" s="1">
        <f t="shared" si="29"/>
        <v>0</v>
      </c>
    </row>
    <row r="384" spans="1:5" x14ac:dyDescent="0.25">
      <c r="A384" s="1">
        <f t="shared" si="26"/>
        <v>750</v>
      </c>
      <c r="B384" s="1">
        <f t="shared" si="27"/>
        <v>-1.3083311259478782E-2</v>
      </c>
      <c r="C384" s="1">
        <f t="shared" si="28"/>
        <v>7.1363132760790234E-4</v>
      </c>
      <c r="D384" s="1">
        <f t="shared" si="25"/>
        <v>8.2924508244042712E-5</v>
      </c>
      <c r="E384" s="1">
        <f t="shared" si="29"/>
        <v>0</v>
      </c>
    </row>
    <row r="385" spans="1:5" x14ac:dyDescent="0.25">
      <c r="A385" s="1">
        <f t="shared" si="26"/>
        <v>752</v>
      </c>
      <c r="B385" s="1">
        <f t="shared" si="27"/>
        <v>-1.1656048604262979E-2</v>
      </c>
      <c r="C385" s="1">
        <f t="shared" si="28"/>
        <v>8.7948034409598779E-4</v>
      </c>
      <c r="D385" s="1">
        <f t="shared" si="25"/>
        <v>6.7347105891478763E-5</v>
      </c>
      <c r="E385" s="1">
        <f t="shared" si="29"/>
        <v>0</v>
      </c>
    </row>
    <row r="386" spans="1:5" x14ac:dyDescent="0.25">
      <c r="A386" s="1">
        <f t="shared" si="26"/>
        <v>754</v>
      </c>
      <c r="B386" s="1">
        <f t="shared" si="27"/>
        <v>-9.8970879160710026E-3</v>
      </c>
      <c r="C386" s="1">
        <f t="shared" si="28"/>
        <v>1.0141745558789454E-3</v>
      </c>
      <c r="D386" s="1">
        <f t="shared" si="25"/>
        <v>5.0017407647798078E-5</v>
      </c>
      <c r="E386" s="1">
        <f t="shared" si="29"/>
        <v>0</v>
      </c>
    </row>
    <row r="387" spans="1:5" x14ac:dyDescent="0.25">
      <c r="A387" s="1">
        <f t="shared" si="26"/>
        <v>756</v>
      </c>
      <c r="B387" s="1">
        <f t="shared" si="27"/>
        <v>-7.8687388043131128E-3</v>
      </c>
      <c r="C387" s="1">
        <f t="shared" si="28"/>
        <v>1.1142093711745415E-3</v>
      </c>
      <c r="D387" s="1">
        <f t="shared" si="25"/>
        <v>3.151535152616456E-5</v>
      </c>
      <c r="E387" s="1">
        <f t="shared" si="29"/>
        <v>0</v>
      </c>
    </row>
    <row r="388" spans="1:5" x14ac:dyDescent="0.25">
      <c r="A388" s="1">
        <f t="shared" si="26"/>
        <v>758</v>
      </c>
      <c r="B388" s="1">
        <f t="shared" si="27"/>
        <v>-5.6403200619640301E-3</v>
      </c>
      <c r="C388" s="1">
        <f t="shared" si="28"/>
        <v>1.1772400742268707E-3</v>
      </c>
      <c r="D388" s="1">
        <f t="shared" si="25"/>
        <v>1.24444624940393E-5</v>
      </c>
      <c r="E388" s="1">
        <f t="shared" si="29"/>
        <v>0</v>
      </c>
    </row>
    <row r="389" spans="1:5" x14ac:dyDescent="0.25">
      <c r="A389" s="1">
        <f t="shared" si="26"/>
        <v>760</v>
      </c>
      <c r="B389" s="1">
        <f t="shared" si="27"/>
        <v>-3.2858399135102887E-3</v>
      </c>
      <c r="C389" s="1">
        <f t="shared" si="28"/>
        <v>1.2021289992149493E-3</v>
      </c>
      <c r="D389" s="1">
        <f t="shared" si="25"/>
        <v>-6.5875058535803912E-6</v>
      </c>
      <c r="E389" s="1">
        <f t="shared" si="29"/>
        <v>0</v>
      </c>
    </row>
    <row r="390" spans="1:5" x14ac:dyDescent="0.25">
      <c r="A390" s="1">
        <f t="shared" si="26"/>
        <v>762</v>
      </c>
      <c r="B390" s="1">
        <f t="shared" si="27"/>
        <v>-8.8158191508039014E-4</v>
      </c>
      <c r="C390" s="1">
        <f t="shared" si="28"/>
        <v>1.1889539875077884E-3</v>
      </c>
      <c r="D390" s="1">
        <f t="shared" si="25"/>
        <v>-2.4987627927581686E-5</v>
      </c>
      <c r="E390" s="1">
        <f t="shared" si="29"/>
        <v>0</v>
      </c>
    </row>
    <row r="391" spans="1:5" x14ac:dyDescent="0.25">
      <c r="A391" s="1">
        <f t="shared" si="26"/>
        <v>764</v>
      </c>
      <c r="B391" s="1">
        <f t="shared" si="27"/>
        <v>1.4963260599351867E-3</v>
      </c>
      <c r="C391" s="1">
        <f t="shared" si="28"/>
        <v>1.1389787316526251E-3</v>
      </c>
      <c r="D391" s="1">
        <f t="shared" si="25"/>
        <v>-4.2195973275784814E-5</v>
      </c>
      <c r="E391" s="1">
        <f t="shared" si="29"/>
        <v>0</v>
      </c>
    </row>
    <row r="392" spans="1:5" x14ac:dyDescent="0.25">
      <c r="A392" s="1">
        <f t="shared" si="26"/>
        <v>766</v>
      </c>
      <c r="B392" s="1">
        <f t="shared" si="27"/>
        <v>3.7742835232404369E-3</v>
      </c>
      <c r="C392" s="1">
        <f t="shared" si="28"/>
        <v>1.0545867851010555E-3</v>
      </c>
      <c r="D392" s="1">
        <f t="shared" si="25"/>
        <v>-5.7702337321983697E-5</v>
      </c>
      <c r="E392" s="1">
        <f t="shared" si="29"/>
        <v>0</v>
      </c>
    </row>
    <row r="393" spans="1:5" x14ac:dyDescent="0.25">
      <c r="A393" s="1">
        <f t="shared" si="26"/>
        <v>768</v>
      </c>
      <c r="B393" s="1">
        <f t="shared" si="27"/>
        <v>5.8834570934425479E-3</v>
      </c>
      <c r="C393" s="1">
        <f t="shared" si="28"/>
        <v>9.3918211045708813E-4</v>
      </c>
      <c r="D393" s="1">
        <f t="shared" ref="D393:D456" si="30">-k*(B393-E393)/m-(b+bb)*C393</f>
        <v>-7.1061045889101834E-5</v>
      </c>
      <c r="E393" s="1">
        <f t="shared" si="29"/>
        <v>0</v>
      </c>
    </row>
    <row r="394" spans="1:5" x14ac:dyDescent="0.25">
      <c r="A394" s="1">
        <f t="shared" ref="A394:A457" si="31">A393+dt</f>
        <v>770</v>
      </c>
      <c r="B394" s="1">
        <f t="shared" ref="B394:B457" si="32">B393+C393*dt</f>
        <v>7.7618213143567242E-3</v>
      </c>
      <c r="C394" s="1">
        <f t="shared" ref="C394:C457" si="33">C393+D393*dt</f>
        <v>7.9706001867888444E-4</v>
      </c>
      <c r="D394" s="1">
        <f t="shared" si="30"/>
        <v>-8.1903414752576553E-5</v>
      </c>
      <c r="E394" s="1">
        <f t="shared" si="29"/>
        <v>0</v>
      </c>
    </row>
    <row r="395" spans="1:5" x14ac:dyDescent="0.25">
      <c r="A395" s="1">
        <f t="shared" si="31"/>
        <v>772</v>
      </c>
      <c r="B395" s="1">
        <f t="shared" si="32"/>
        <v>9.3559413517144939E-3</v>
      </c>
      <c r="C395" s="1">
        <f t="shared" si="33"/>
        <v>6.3325318917373133E-4</v>
      </c>
      <c r="D395" s="1">
        <f t="shared" si="30"/>
        <v>-8.9947528013229044E-5</v>
      </c>
      <c r="E395" s="1">
        <f t="shared" ref="E395:E458" si="34">E394</f>
        <v>0</v>
      </c>
    </row>
    <row r="396" spans="1:5" x14ac:dyDescent="0.25">
      <c r="A396" s="1">
        <f t="shared" si="31"/>
        <v>774</v>
      </c>
      <c r="B396" s="1">
        <f t="shared" si="32"/>
        <v>1.0622447730061957E-2</v>
      </c>
      <c r="C396" s="1">
        <f t="shared" si="33"/>
        <v>4.5335813314727321E-4</v>
      </c>
      <c r="D396" s="1">
        <f t="shared" si="30"/>
        <v>-9.5005090262830185E-5</v>
      </c>
      <c r="E396" s="1">
        <f t="shared" si="34"/>
        <v>0</v>
      </c>
    </row>
    <row r="397" spans="1:5" x14ac:dyDescent="0.25">
      <c r="A397" s="1">
        <f t="shared" si="31"/>
        <v>776</v>
      </c>
      <c r="B397" s="1">
        <f t="shared" si="32"/>
        <v>1.1529163996356503E-2</v>
      </c>
      <c r="C397" s="1">
        <f t="shared" si="33"/>
        <v>2.6334795262161282E-4</v>
      </c>
      <c r="D397" s="1">
        <f t="shared" si="30"/>
        <v>-9.6985204301839939E-5</v>
      </c>
      <c r="E397" s="1">
        <f t="shared" si="34"/>
        <v>0</v>
      </c>
    </row>
    <row r="398" spans="1:5" x14ac:dyDescent="0.25">
      <c r="A398" s="1">
        <f t="shared" si="31"/>
        <v>778</v>
      </c>
      <c r="B398" s="1">
        <f t="shared" si="32"/>
        <v>1.2055859901599728E-2</v>
      </c>
      <c r="C398" s="1">
        <f t="shared" si="33"/>
        <v>6.9377544017932939E-5</v>
      </c>
      <c r="D398" s="1">
        <f t="shared" si="30"/>
        <v>-9.5895025412158464E-5</v>
      </c>
      <c r="E398" s="1">
        <f t="shared" si="34"/>
        <v>0</v>
      </c>
    </row>
    <row r="399" spans="1:5" x14ac:dyDescent="0.25">
      <c r="A399" s="1">
        <f t="shared" si="31"/>
        <v>780</v>
      </c>
      <c r="B399" s="1">
        <f t="shared" si="32"/>
        <v>1.2194614989635593E-2</v>
      </c>
      <c r="C399" s="1">
        <f t="shared" si="33"/>
        <v>-1.2241250680638399E-4</v>
      </c>
      <c r="D399" s="1">
        <f t="shared" si="30"/>
        <v>-9.1837341736746535E-5</v>
      </c>
      <c r="E399" s="1">
        <f t="shared" si="34"/>
        <v>0</v>
      </c>
    </row>
    <row r="400" spans="1:5" x14ac:dyDescent="0.25">
      <c r="A400" s="1">
        <f t="shared" si="31"/>
        <v>782</v>
      </c>
      <c r="B400" s="1">
        <f t="shared" si="32"/>
        <v>1.1949789976022826E-2</v>
      </c>
      <c r="C400" s="1">
        <f t="shared" si="33"/>
        <v>-3.0608719027987706E-4</v>
      </c>
      <c r="D400" s="1">
        <f t="shared" si="30"/>
        <v>-8.5005225113477328E-5</v>
      </c>
      <c r="E400" s="1">
        <f t="shared" si="34"/>
        <v>0</v>
      </c>
    </row>
    <row r="401" spans="1:5" x14ac:dyDescent="0.25">
      <c r="A401" s="1">
        <f t="shared" si="31"/>
        <v>784</v>
      </c>
      <c r="B401" s="1">
        <f t="shared" si="32"/>
        <v>1.1337615595463072E-2</v>
      </c>
      <c r="C401" s="1">
        <f t="shared" si="33"/>
        <v>-4.7609764050683169E-4</v>
      </c>
      <c r="D401" s="1">
        <f t="shared" si="30"/>
        <v>-7.5673984879028855E-5</v>
      </c>
      <c r="E401" s="1">
        <f t="shared" si="34"/>
        <v>0</v>
      </c>
    </row>
    <row r="402" spans="1:5" x14ac:dyDescent="0.25">
      <c r="A402" s="1">
        <f t="shared" si="31"/>
        <v>786</v>
      </c>
      <c r="B402" s="1">
        <f t="shared" si="32"/>
        <v>1.0385420314449409E-2</v>
      </c>
      <c r="C402" s="1">
        <f t="shared" si="33"/>
        <v>-6.2744561026488942E-4</v>
      </c>
      <c r="D402" s="1">
        <f t="shared" si="30"/>
        <v>-6.4190736097606338E-5</v>
      </c>
      <c r="E402" s="1">
        <f t="shared" si="34"/>
        <v>0</v>
      </c>
    </row>
    <row r="403" spans="1:5" x14ac:dyDescent="0.25">
      <c r="A403" s="1">
        <f t="shared" si="31"/>
        <v>788</v>
      </c>
      <c r="B403" s="1">
        <f t="shared" si="32"/>
        <v>9.1305290939196291E-3</v>
      </c>
      <c r="C403" s="1">
        <f t="shared" si="33"/>
        <v>-7.5582708246010205E-4</v>
      </c>
      <c r="D403" s="1">
        <f t="shared" si="30"/>
        <v>-5.0961961122642372E-5</v>
      </c>
      <c r="E403" s="1">
        <f t="shared" si="34"/>
        <v>0</v>
      </c>
    </row>
    <row r="404" spans="1:5" x14ac:dyDescent="0.25">
      <c r="A404" s="1">
        <f t="shared" si="31"/>
        <v>790</v>
      </c>
      <c r="B404" s="1">
        <f t="shared" si="32"/>
        <v>7.6188749289994254E-3</v>
      </c>
      <c r="C404" s="1">
        <f t="shared" si="33"/>
        <v>-8.5775100470538682E-4</v>
      </c>
      <c r="D404" s="1">
        <f t="shared" si="30"/>
        <v>-3.6439497520091146E-5</v>
      </c>
      <c r="E404" s="1">
        <f t="shared" si="34"/>
        <v>0</v>
      </c>
    </row>
    <row r="405" spans="1:5" x14ac:dyDescent="0.25">
      <c r="A405" s="1">
        <f t="shared" si="31"/>
        <v>792</v>
      </c>
      <c r="B405" s="1">
        <f t="shared" si="32"/>
        <v>5.9033729195886522E-3</v>
      </c>
      <c r="C405" s="1">
        <f t="shared" si="33"/>
        <v>-9.3062999974556908E-4</v>
      </c>
      <c r="D405" s="1">
        <f t="shared" si="30"/>
        <v>-2.1105424779610234E-5</v>
      </c>
      <c r="E405" s="1">
        <f t="shared" si="34"/>
        <v>0</v>
      </c>
    </row>
    <row r="406" spans="1:5" x14ac:dyDescent="0.25">
      <c r="A406" s="1">
        <f t="shared" si="31"/>
        <v>794</v>
      </c>
      <c r="B406" s="1">
        <f t="shared" si="32"/>
        <v>4.0421129200975143E-3</v>
      </c>
      <c r="C406" s="1">
        <f t="shared" si="33"/>
        <v>-9.7284084930478957E-4</v>
      </c>
      <c r="D406" s="1">
        <f t="shared" si="30"/>
        <v>-5.4563460153922452E-6</v>
      </c>
      <c r="E406" s="1">
        <f t="shared" si="34"/>
        <v>0</v>
      </c>
    </row>
    <row r="407" spans="1:5" x14ac:dyDescent="0.25">
      <c r="A407" s="1">
        <f t="shared" si="31"/>
        <v>796</v>
      </c>
      <c r="B407" s="1">
        <f t="shared" si="32"/>
        <v>2.0964312214879349E-3</v>
      </c>
      <c r="C407" s="1">
        <f t="shared" si="33"/>
        <v>-9.8375354133557399E-4</v>
      </c>
      <c r="D407" s="1">
        <f t="shared" si="30"/>
        <v>1.0012431380187493E-5</v>
      </c>
      <c r="E407" s="1">
        <f t="shared" si="34"/>
        <v>0</v>
      </c>
    </row>
    <row r="408" spans="1:5" x14ac:dyDescent="0.25">
      <c r="A408" s="1">
        <f t="shared" si="31"/>
        <v>798</v>
      </c>
      <c r="B408" s="1">
        <f t="shared" si="32"/>
        <v>1.2892413881678694E-4</v>
      </c>
      <c r="C408" s="1">
        <f t="shared" si="33"/>
        <v>-9.6372867857519903E-4</v>
      </c>
      <c r="D408" s="1">
        <f t="shared" si="30"/>
        <v>2.4822320303044396E-5</v>
      </c>
      <c r="E408" s="1">
        <f t="shared" si="34"/>
        <v>0</v>
      </c>
    </row>
    <row r="409" spans="1:5" x14ac:dyDescent="0.25">
      <c r="A409" s="1">
        <f t="shared" si="31"/>
        <v>800</v>
      </c>
      <c r="B409" s="1">
        <f t="shared" si="32"/>
        <v>-1.7985332183336111E-3</v>
      </c>
      <c r="C409" s="1">
        <f t="shared" si="33"/>
        <v>-9.1408403796911018E-4</v>
      </c>
      <c r="D409" s="1">
        <f t="shared" si="30"/>
        <v>3.8526011320574324E-5</v>
      </c>
      <c r="E409" s="1">
        <f t="shared" si="34"/>
        <v>0</v>
      </c>
    </row>
    <row r="410" spans="1:5" x14ac:dyDescent="0.25">
      <c r="A410" s="1">
        <f t="shared" si="31"/>
        <v>802</v>
      </c>
      <c r="B410" s="1">
        <f t="shared" si="32"/>
        <v>-3.6267012942718313E-3</v>
      </c>
      <c r="C410" s="1">
        <f t="shared" si="33"/>
        <v>-8.3703201532796148E-4</v>
      </c>
      <c r="D410" s="1">
        <f t="shared" si="30"/>
        <v>5.0720728106109654E-5</v>
      </c>
      <c r="E410" s="1">
        <f t="shared" si="34"/>
        <v>0</v>
      </c>
    </row>
    <row r="411" spans="1:5" x14ac:dyDescent="0.25">
      <c r="A411" s="1">
        <f t="shared" si="31"/>
        <v>804</v>
      </c>
      <c r="B411" s="1">
        <f t="shared" si="32"/>
        <v>-5.3007653249277538E-3</v>
      </c>
      <c r="C411" s="1">
        <f t="shared" si="33"/>
        <v>-7.3559055911574214E-4</v>
      </c>
      <c r="D411" s="1">
        <f t="shared" si="30"/>
        <v>6.1059796518738363E-5</v>
      </c>
      <c r="E411" s="1">
        <f t="shared" si="34"/>
        <v>0</v>
      </c>
    </row>
    <row r="412" spans="1:5" x14ac:dyDescent="0.25">
      <c r="A412" s="1">
        <f t="shared" si="31"/>
        <v>806</v>
      </c>
      <c r="B412" s="1">
        <f t="shared" si="32"/>
        <v>-6.7719464431592376E-3</v>
      </c>
      <c r="C412" s="1">
        <f t="shared" si="33"/>
        <v>-6.1347096607826542E-4</v>
      </c>
      <c r="D412" s="1">
        <f t="shared" si="30"/>
        <v>6.926220414753956E-5</v>
      </c>
      <c r="E412" s="1">
        <f t="shared" si="34"/>
        <v>0</v>
      </c>
    </row>
    <row r="413" spans="1:5" x14ac:dyDescent="0.25">
      <c r="A413" s="1">
        <f t="shared" si="31"/>
        <v>808</v>
      </c>
      <c r="B413" s="1">
        <f t="shared" si="32"/>
        <v>-7.9988883753157689E-3</v>
      </c>
      <c r="C413" s="1">
        <f t="shared" si="33"/>
        <v>-4.749465577831863E-4</v>
      </c>
      <c r="D413" s="1">
        <f t="shared" si="30"/>
        <v>7.5119897076052395E-5</v>
      </c>
      <c r="E413" s="1">
        <f t="shared" si="34"/>
        <v>0</v>
      </c>
    </row>
    <row r="414" spans="1:5" x14ac:dyDescent="0.25">
      <c r="A414" s="1">
        <f t="shared" si="31"/>
        <v>810</v>
      </c>
      <c r="B414" s="1">
        <f t="shared" si="32"/>
        <v>-8.9487814908821416E-3</v>
      </c>
      <c r="C414" s="1">
        <f t="shared" si="33"/>
        <v>-3.2470676363108151E-4</v>
      </c>
      <c r="D414" s="1">
        <f t="shared" si="30"/>
        <v>7.8502636894193676E-5</v>
      </c>
      <c r="E414" s="1">
        <f t="shared" si="34"/>
        <v>0</v>
      </c>
    </row>
    <row r="415" spans="1:5" x14ac:dyDescent="0.25">
      <c r="A415" s="1">
        <f t="shared" si="31"/>
        <v>812</v>
      </c>
      <c r="B415" s="1">
        <f t="shared" si="32"/>
        <v>-9.5981950181443041E-3</v>
      </c>
      <c r="C415" s="1">
        <f t="shared" si="33"/>
        <v>-1.6770148984269416E-4</v>
      </c>
      <c r="D415" s="1">
        <f t="shared" si="30"/>
        <v>7.9360321069309783E-5</v>
      </c>
      <c r="E415" s="1">
        <f t="shared" si="34"/>
        <v>0</v>
      </c>
    </row>
    <row r="416" spans="1:5" x14ac:dyDescent="0.25">
      <c r="A416" s="1">
        <f t="shared" si="31"/>
        <v>814</v>
      </c>
      <c r="B416" s="1">
        <f t="shared" si="32"/>
        <v>-9.9335979978296927E-3</v>
      </c>
      <c r="C416" s="1">
        <f t="shared" si="33"/>
        <v>-8.9808477040745913E-6</v>
      </c>
      <c r="D416" s="1">
        <f t="shared" si="30"/>
        <v>7.7722751101540799E-5</v>
      </c>
      <c r="E416" s="1">
        <f t="shared" si="34"/>
        <v>0</v>
      </c>
    </row>
    <row r="417" spans="1:5" x14ac:dyDescent="0.25">
      <c r="A417" s="1">
        <f t="shared" si="31"/>
        <v>816</v>
      </c>
      <c r="B417" s="1">
        <f t="shared" si="32"/>
        <v>-9.9515596932378426E-3</v>
      </c>
      <c r="C417" s="1">
        <f t="shared" si="33"/>
        <v>1.4646465449900701E-4</v>
      </c>
      <c r="D417" s="1">
        <f t="shared" si="30"/>
        <v>7.3696912866681789E-5</v>
      </c>
      <c r="E417" s="1">
        <f t="shared" si="34"/>
        <v>0</v>
      </c>
    </row>
    <row r="418" spans="1:5" x14ac:dyDescent="0.25">
      <c r="A418" s="1">
        <f t="shared" si="31"/>
        <v>818</v>
      </c>
      <c r="B418" s="1">
        <f t="shared" si="32"/>
        <v>-9.6586303842398288E-3</v>
      </c>
      <c r="C418" s="1">
        <f t="shared" si="33"/>
        <v>2.9385848023237061E-4</v>
      </c>
      <c r="D418" s="1">
        <f t="shared" si="30"/>
        <v>6.7461909726843129E-5</v>
      </c>
      <c r="E418" s="1">
        <f t="shared" si="34"/>
        <v>0</v>
      </c>
    </row>
    <row r="419" spans="1:5" x14ac:dyDescent="0.25">
      <c r="A419" s="1">
        <f t="shared" si="31"/>
        <v>820</v>
      </c>
      <c r="B419" s="1">
        <f t="shared" si="32"/>
        <v>-9.0709134237750878E-3</v>
      </c>
      <c r="C419" s="1">
        <f t="shared" si="33"/>
        <v>4.2878229968605684E-4</v>
      </c>
      <c r="D419" s="1">
        <f t="shared" si="30"/>
        <v>5.9261759073859359E-5</v>
      </c>
      <c r="E419" s="1">
        <f t="shared" si="34"/>
        <v>0</v>
      </c>
    </row>
    <row r="420" spans="1:5" x14ac:dyDescent="0.25">
      <c r="A420" s="1">
        <f t="shared" si="31"/>
        <v>822</v>
      </c>
      <c r="B420" s="1">
        <f t="shared" si="32"/>
        <v>-8.2133488244029735E-3</v>
      </c>
      <c r="C420" s="1">
        <f t="shared" si="33"/>
        <v>5.4730581783377552E-4</v>
      </c>
      <c r="D420" s="1">
        <f t="shared" si="30"/>
        <v>4.9396324912398011E-5</v>
      </c>
      <c r="E420" s="1">
        <f t="shared" si="34"/>
        <v>0</v>
      </c>
    </row>
    <row r="421" spans="1:5" x14ac:dyDescent="0.25">
      <c r="A421" s="1">
        <f t="shared" si="31"/>
        <v>824</v>
      </c>
      <c r="B421" s="1">
        <f t="shared" si="32"/>
        <v>-7.1187371887354222E-3</v>
      </c>
      <c r="C421" s="1">
        <f t="shared" si="33"/>
        <v>6.4609846765857149E-4</v>
      </c>
      <c r="D421" s="1">
        <f t="shared" si="30"/>
        <v>3.8210711138886576E-5</v>
      </c>
      <c r="E421" s="1">
        <f t="shared" si="34"/>
        <v>0</v>
      </c>
    </row>
    <row r="422" spans="1:5" x14ac:dyDescent="0.25">
      <c r="A422" s="1">
        <f t="shared" si="31"/>
        <v>826</v>
      </c>
      <c r="B422" s="1">
        <f t="shared" si="32"/>
        <v>-5.8265402534182793E-3</v>
      </c>
      <c r="C422" s="1">
        <f t="shared" si="33"/>
        <v>7.2251988993634469E-4</v>
      </c>
      <c r="D422" s="1">
        <f t="shared" si="30"/>
        <v>2.6083480926368537E-5</v>
      </c>
      <c r="E422" s="1">
        <f t="shared" si="34"/>
        <v>0</v>
      </c>
    </row>
    <row r="423" spans="1:5" x14ac:dyDescent="0.25">
      <c r="A423" s="1">
        <f t="shared" si="31"/>
        <v>828</v>
      </c>
      <c r="B423" s="1">
        <f t="shared" si="32"/>
        <v>-4.3815004735455899E-3</v>
      </c>
      <c r="C423" s="1">
        <f t="shared" si="33"/>
        <v>7.7468685178908178E-4</v>
      </c>
      <c r="D423" s="1">
        <f t="shared" si="30"/>
        <v>1.3414096065708205E-5</v>
      </c>
      <c r="E423" s="1">
        <f t="shared" si="34"/>
        <v>0</v>
      </c>
    </row>
    <row r="424" spans="1:5" x14ac:dyDescent="0.25">
      <c r="A424" s="1">
        <f t="shared" si="31"/>
        <v>830</v>
      </c>
      <c r="B424" s="1">
        <f t="shared" si="32"/>
        <v>-2.8321267699674265E-3</v>
      </c>
      <c r="C424" s="1">
        <f t="shared" si="33"/>
        <v>8.0151504392049814E-4</v>
      </c>
      <c r="D424" s="1">
        <f t="shared" si="30"/>
        <v>6.0998562867657608E-7</v>
      </c>
      <c r="E424" s="1">
        <f t="shared" si="34"/>
        <v>0</v>
      </c>
    </row>
    <row r="425" spans="1:5" x14ac:dyDescent="0.25">
      <c r="A425" s="1">
        <f t="shared" si="31"/>
        <v>832</v>
      </c>
      <c r="B425" s="1">
        <f t="shared" si="32"/>
        <v>-1.2290966821264303E-3</v>
      </c>
      <c r="C425" s="1">
        <f t="shared" si="33"/>
        <v>8.0273501517785133E-4</v>
      </c>
      <c r="D425" s="1">
        <f t="shared" si="30"/>
        <v>-1.1926344286180259E-5</v>
      </c>
      <c r="E425" s="1">
        <f t="shared" si="34"/>
        <v>0</v>
      </c>
    </row>
    <row r="426" spans="1:5" x14ac:dyDescent="0.25">
      <c r="A426" s="1">
        <f t="shared" si="31"/>
        <v>834</v>
      </c>
      <c r="B426" s="1">
        <f t="shared" si="32"/>
        <v>3.763733482292724E-4</v>
      </c>
      <c r="C426" s="1">
        <f t="shared" si="33"/>
        <v>7.7888232660549086E-4</v>
      </c>
      <c r="D426" s="1">
        <f t="shared" si="30"/>
        <v>-2.3809758469215482E-5</v>
      </c>
      <c r="E426" s="1">
        <f t="shared" si="34"/>
        <v>0</v>
      </c>
    </row>
    <row r="427" spans="1:5" x14ac:dyDescent="0.25">
      <c r="A427" s="1">
        <f t="shared" si="31"/>
        <v>836</v>
      </c>
      <c r="B427" s="1">
        <f t="shared" si="32"/>
        <v>1.9341380014402541E-3</v>
      </c>
      <c r="C427" s="1">
        <f t="shared" si="33"/>
        <v>7.3126280966705984E-4</v>
      </c>
      <c r="D427" s="1">
        <f t="shared" si="30"/>
        <v>-3.4684119710311185E-5</v>
      </c>
      <c r="E427" s="1">
        <f t="shared" si="34"/>
        <v>0</v>
      </c>
    </row>
    <row r="428" spans="1:5" x14ac:dyDescent="0.25">
      <c r="A428" s="1">
        <f t="shared" si="31"/>
        <v>838</v>
      </c>
      <c r="B428" s="1">
        <f t="shared" si="32"/>
        <v>3.396663620774374E-3</v>
      </c>
      <c r="C428" s="1">
        <f t="shared" si="33"/>
        <v>6.6189457024643742E-4</v>
      </c>
      <c r="D428" s="1">
        <f t="shared" si="30"/>
        <v>-4.4232750724644639E-5</v>
      </c>
      <c r="E428" s="1">
        <f t="shared" si="34"/>
        <v>0</v>
      </c>
    </row>
    <row r="429" spans="1:5" x14ac:dyDescent="0.25">
      <c r="A429" s="1">
        <f t="shared" si="31"/>
        <v>840</v>
      </c>
      <c r="B429" s="1">
        <f t="shared" si="32"/>
        <v>4.7204527612672489E-3</v>
      </c>
      <c r="C429" s="1">
        <f t="shared" si="33"/>
        <v>5.7342906879714818E-4</v>
      </c>
      <c r="D429" s="1">
        <f t="shared" si="30"/>
        <v>-5.2187430581648109E-5</v>
      </c>
      <c r="E429" s="1">
        <f t="shared" si="34"/>
        <v>0</v>
      </c>
    </row>
    <row r="430" spans="1:5" x14ac:dyDescent="0.25">
      <c r="A430" s="1">
        <f t="shared" si="31"/>
        <v>842</v>
      </c>
      <c r="B430" s="1">
        <f t="shared" si="32"/>
        <v>5.8673108988615448E-3</v>
      </c>
      <c r="C430" s="1">
        <f t="shared" si="33"/>
        <v>4.6905420763385195E-4</v>
      </c>
      <c r="D430" s="1">
        <f t="shared" si="30"/>
        <v>-5.8335677775707279E-5</v>
      </c>
      <c r="E430" s="1">
        <f t="shared" si="34"/>
        <v>0</v>
      </c>
    </row>
    <row r="431" spans="1:5" x14ac:dyDescent="0.25">
      <c r="A431" s="1">
        <f t="shared" si="31"/>
        <v>844</v>
      </c>
      <c r="B431" s="1">
        <f t="shared" si="32"/>
        <v>6.8054193141292487E-3</v>
      </c>
      <c r="C431" s="1">
        <f t="shared" si="33"/>
        <v>3.5238285208243742E-4</v>
      </c>
      <c r="D431" s="1">
        <f t="shared" si="30"/>
        <v>-6.2526131086017452E-5</v>
      </c>
      <c r="E431" s="1">
        <f t="shared" si="34"/>
        <v>0</v>
      </c>
    </row>
    <row r="432" spans="1:5" x14ac:dyDescent="0.25">
      <c r="A432" s="1">
        <f t="shared" si="31"/>
        <v>846</v>
      </c>
      <c r="B432" s="1">
        <f t="shared" si="32"/>
        <v>7.510185018294124E-3</v>
      </c>
      <c r="C432" s="1">
        <f t="shared" si="33"/>
        <v>2.2733058991040252E-4</v>
      </c>
      <c r="D432" s="1">
        <f t="shared" si="30"/>
        <v>-6.4671902952292951E-5</v>
      </c>
      <c r="E432" s="1">
        <f t="shared" si="34"/>
        <v>0</v>
      </c>
    </row>
    <row r="433" spans="1:5" x14ac:dyDescent="0.25">
      <c r="A433" s="1">
        <f t="shared" si="31"/>
        <v>848</v>
      </c>
      <c r="B433" s="1">
        <f t="shared" si="32"/>
        <v>7.9648461981149284E-3</v>
      </c>
      <c r="C433" s="1">
        <f t="shared" si="33"/>
        <v>9.7986784005816614E-5</v>
      </c>
      <c r="D433" s="1">
        <f t="shared" si="30"/>
        <v>-6.4751846156652331E-5</v>
      </c>
      <c r="E433" s="1">
        <f t="shared" si="34"/>
        <v>0</v>
      </c>
    </row>
    <row r="434" spans="1:5" x14ac:dyDescent="0.25">
      <c r="A434" s="1">
        <f t="shared" si="31"/>
        <v>850</v>
      </c>
      <c r="B434" s="1">
        <f t="shared" si="32"/>
        <v>8.1608197661265612E-3</v>
      </c>
      <c r="C434" s="1">
        <f t="shared" si="33"/>
        <v>-3.1516908307488049E-5</v>
      </c>
      <c r="D434" s="1">
        <f t="shared" si="30"/>
        <v>-6.2809741033146495E-5</v>
      </c>
      <c r="E434" s="1">
        <f t="shared" si="34"/>
        <v>0</v>
      </c>
    </row>
    <row r="435" spans="1:5" x14ac:dyDescent="0.25">
      <c r="A435" s="1">
        <f t="shared" si="31"/>
        <v>852</v>
      </c>
      <c r="B435" s="1">
        <f t="shared" si="32"/>
        <v>8.0977859495115854E-3</v>
      </c>
      <c r="C435" s="1">
        <f t="shared" si="33"/>
        <v>-1.5713639037378104E-4</v>
      </c>
      <c r="D435" s="1">
        <f t="shared" si="30"/>
        <v>-5.8951475144173035E-5</v>
      </c>
      <c r="E435" s="1">
        <f t="shared" si="34"/>
        <v>0</v>
      </c>
    </row>
    <row r="436" spans="1:5" x14ac:dyDescent="0.25">
      <c r="A436" s="1">
        <f t="shared" si="31"/>
        <v>854</v>
      </c>
      <c r="B436" s="1">
        <f t="shared" si="32"/>
        <v>7.7835131687640233E-3</v>
      </c>
      <c r="C436" s="1">
        <f t="shared" si="33"/>
        <v>-2.7503934066212712E-4</v>
      </c>
      <c r="D436" s="1">
        <f t="shared" si="30"/>
        <v>-5.3340348386614371E-5</v>
      </c>
      <c r="E436" s="1">
        <f t="shared" si="34"/>
        <v>0</v>
      </c>
    </row>
    <row r="437" spans="1:5" x14ac:dyDescent="0.25">
      <c r="A437" s="1">
        <f t="shared" si="31"/>
        <v>856</v>
      </c>
      <c r="B437" s="1">
        <f t="shared" si="32"/>
        <v>7.2334344874397695E-3</v>
      </c>
      <c r="C437" s="1">
        <f t="shared" si="33"/>
        <v>-3.8172003743535587E-4</v>
      </c>
      <c r="D437" s="1">
        <f t="shared" si="30"/>
        <v>-4.6190691998762664E-5</v>
      </c>
      <c r="E437" s="1">
        <f t="shared" si="34"/>
        <v>0</v>
      </c>
    </row>
    <row r="438" spans="1:5" x14ac:dyDescent="0.25">
      <c r="A438" s="1">
        <f t="shared" si="31"/>
        <v>858</v>
      </c>
      <c r="B438" s="1">
        <f t="shared" si="32"/>
        <v>6.4699944125690577E-3</v>
      </c>
      <c r="C438" s="1">
        <f t="shared" si="33"/>
        <v>-4.7410142143288121E-4</v>
      </c>
      <c r="D438" s="1">
        <f t="shared" si="30"/>
        <v>-3.7760038323637427E-5</v>
      </c>
      <c r="E438" s="1">
        <f t="shared" si="34"/>
        <v>0</v>
      </c>
    </row>
    <row r="439" spans="1:5" x14ac:dyDescent="0.25">
      <c r="A439" s="1">
        <f t="shared" si="31"/>
        <v>860</v>
      </c>
      <c r="B439" s="1">
        <f t="shared" si="32"/>
        <v>5.5217915697032948E-3</v>
      </c>
      <c r="C439" s="1">
        <f t="shared" si="33"/>
        <v>-5.4962149808015603E-4</v>
      </c>
      <c r="D439" s="1">
        <f t="shared" si="30"/>
        <v>-2.8340118095137513E-5</v>
      </c>
      <c r="E439" s="1">
        <f t="shared" si="34"/>
        <v>0</v>
      </c>
    </row>
    <row r="440" spans="1:5" x14ac:dyDescent="0.25">
      <c r="A440" s="1">
        <f t="shared" si="31"/>
        <v>862</v>
      </c>
      <c r="B440" s="1">
        <f t="shared" si="32"/>
        <v>4.4225485735429823E-3</v>
      </c>
      <c r="C440" s="1">
        <f t="shared" si="33"/>
        <v>-6.0630173427043109E-4</v>
      </c>
      <c r="D440" s="1">
        <f t="shared" si="30"/>
        <v>-1.8246992395187705E-5</v>
      </c>
      <c r="E440" s="1">
        <f t="shared" si="34"/>
        <v>0</v>
      </c>
    </row>
    <row r="441" spans="1:5" x14ac:dyDescent="0.25">
      <c r="A441" s="1">
        <f t="shared" si="31"/>
        <v>864</v>
      </c>
      <c r="B441" s="1">
        <f t="shared" si="32"/>
        <v>3.2099451050021204E-3</v>
      </c>
      <c r="C441" s="1">
        <f t="shared" si="33"/>
        <v>-6.4279571906080649E-4</v>
      </c>
      <c r="D441" s="1">
        <f t="shared" si="30"/>
        <v>-7.8106465481869216E-6</v>
      </c>
      <c r="E441" s="1">
        <f t="shared" si="34"/>
        <v>0</v>
      </c>
    </row>
    <row r="442" spans="1:5" x14ac:dyDescent="0.25">
      <c r="A442" s="1">
        <f t="shared" si="31"/>
        <v>866</v>
      </c>
      <c r="B442" s="1">
        <f t="shared" si="32"/>
        <v>1.9243536668805074E-3</v>
      </c>
      <c r="C442" s="1">
        <f t="shared" si="33"/>
        <v>-6.5841701215718033E-4</v>
      </c>
      <c r="D442" s="1">
        <f t="shared" si="30"/>
        <v>2.6356173241444763E-6</v>
      </c>
      <c r="E442" s="1">
        <f t="shared" si="34"/>
        <v>0</v>
      </c>
    </row>
    <row r="443" spans="1:5" x14ac:dyDescent="0.25">
      <c r="A443" s="1">
        <f t="shared" si="31"/>
        <v>868</v>
      </c>
      <c r="B443" s="1">
        <f t="shared" si="32"/>
        <v>6.0751964256614672E-4</v>
      </c>
      <c r="C443" s="1">
        <f t="shared" si="33"/>
        <v>-6.5314577750889141E-4</v>
      </c>
      <c r="D443" s="1">
        <f t="shared" si="30"/>
        <v>1.2765653625222346E-5</v>
      </c>
      <c r="E443" s="1">
        <f t="shared" si="34"/>
        <v>0</v>
      </c>
    </row>
    <row r="444" spans="1:5" x14ac:dyDescent="0.25">
      <c r="A444" s="1">
        <f t="shared" si="31"/>
        <v>870</v>
      </c>
      <c r="B444" s="1">
        <f t="shared" si="32"/>
        <v>-6.9877191245163611E-4</v>
      </c>
      <c r="C444" s="1">
        <f t="shared" si="33"/>
        <v>-6.2761447025844674E-4</v>
      </c>
      <c r="D444" s="1">
        <f t="shared" si="30"/>
        <v>2.2270488720049136E-5</v>
      </c>
      <c r="E444" s="1">
        <f t="shared" si="34"/>
        <v>0</v>
      </c>
    </row>
    <row r="445" spans="1:5" x14ac:dyDescent="0.25">
      <c r="A445" s="1">
        <f t="shared" si="31"/>
        <v>872</v>
      </c>
      <c r="B445" s="1">
        <f t="shared" si="32"/>
        <v>-1.9540008529685296E-3</v>
      </c>
      <c r="C445" s="1">
        <f t="shared" si="33"/>
        <v>-5.8307349281834845E-4</v>
      </c>
      <c r="D445" s="1">
        <f t="shared" si="30"/>
        <v>3.0867576260686265E-5</v>
      </c>
      <c r="E445" s="1">
        <f t="shared" si="34"/>
        <v>0</v>
      </c>
    </row>
    <row r="446" spans="1:5" x14ac:dyDescent="0.25">
      <c r="A446" s="1">
        <f t="shared" si="31"/>
        <v>874</v>
      </c>
      <c r="B446" s="1">
        <f t="shared" si="32"/>
        <v>-3.1201478386052263E-3</v>
      </c>
      <c r="C446" s="1">
        <f t="shared" si="33"/>
        <v>-5.2133834029697592E-4</v>
      </c>
      <c r="D446" s="1">
        <f t="shared" si="30"/>
        <v>3.8309020661079715E-5</v>
      </c>
      <c r="E446" s="1">
        <f t="shared" si="34"/>
        <v>0</v>
      </c>
    </row>
    <row r="447" spans="1:5" x14ac:dyDescent="0.25">
      <c r="A447" s="1">
        <f t="shared" si="31"/>
        <v>876</v>
      </c>
      <c r="B447" s="1">
        <f t="shared" si="32"/>
        <v>-4.1628245191991783E-3</v>
      </c>
      <c r="C447" s="1">
        <f t="shared" si="33"/>
        <v>-4.4472029897481649E-4</v>
      </c>
      <c r="D447" s="1">
        <f t="shared" si="30"/>
        <v>4.4388535262278669E-5</v>
      </c>
      <c r="E447" s="1">
        <f t="shared" si="34"/>
        <v>0</v>
      </c>
    </row>
    <row r="448" spans="1:5" x14ac:dyDescent="0.25">
      <c r="A448" s="1">
        <f t="shared" si="31"/>
        <v>878</v>
      </c>
      <c r="B448" s="1">
        <f t="shared" si="32"/>
        <v>-5.0522651171488117E-3</v>
      </c>
      <c r="C448" s="1">
        <f t="shared" si="33"/>
        <v>-3.5594322845025915E-4</v>
      </c>
      <c r="D448" s="1">
        <f t="shared" si="30"/>
        <v>4.8946946436227677E-5</v>
      </c>
      <c r="E448" s="1">
        <f t="shared" si="34"/>
        <v>0</v>
      </c>
    </row>
    <row r="449" spans="1:5" x14ac:dyDescent="0.25">
      <c r="A449" s="1">
        <f t="shared" si="31"/>
        <v>880</v>
      </c>
      <c r="B449" s="1">
        <f t="shared" si="32"/>
        <v>-5.7641515740493301E-3</v>
      </c>
      <c r="C449" s="1">
        <f t="shared" si="33"/>
        <v>-2.5804933557780382E-4</v>
      </c>
      <c r="D449" s="1">
        <f t="shared" si="30"/>
        <v>5.1876104471069913E-5</v>
      </c>
      <c r="E449" s="1">
        <f t="shared" si="34"/>
        <v>0</v>
      </c>
    </row>
    <row r="450" spans="1:5" x14ac:dyDescent="0.25">
      <c r="A450" s="1">
        <f t="shared" si="31"/>
        <v>882</v>
      </c>
      <c r="B450" s="1">
        <f t="shared" si="32"/>
        <v>-6.2802502452049373E-3</v>
      </c>
      <c r="C450" s="1">
        <f t="shared" si="33"/>
        <v>-1.5429712663566399E-4</v>
      </c>
      <c r="D450" s="1">
        <f t="shared" si="30"/>
        <v>5.3121114906434304E-5</v>
      </c>
      <c r="E450" s="1">
        <f t="shared" si="34"/>
        <v>0</v>
      </c>
    </row>
    <row r="451" spans="1:5" x14ac:dyDescent="0.25">
      <c r="A451" s="1">
        <f t="shared" si="31"/>
        <v>884</v>
      </c>
      <c r="B451" s="1">
        <f t="shared" si="32"/>
        <v>-6.5888444984762654E-3</v>
      </c>
      <c r="C451" s="1">
        <f t="shared" si="33"/>
        <v>-4.8054896822795386E-5</v>
      </c>
      <c r="D451" s="1">
        <f t="shared" si="30"/>
        <v>5.2680858322965786E-5</v>
      </c>
      <c r="E451" s="1">
        <f t="shared" si="34"/>
        <v>0</v>
      </c>
    </row>
    <row r="452" spans="1:5" x14ac:dyDescent="0.25">
      <c r="A452" s="1">
        <f t="shared" si="31"/>
        <v>886</v>
      </c>
      <c r="B452" s="1">
        <f t="shared" si="32"/>
        <v>-6.6849542921218561E-3</v>
      </c>
      <c r="C452" s="1">
        <f t="shared" si="33"/>
        <v>5.7306819823136186E-5</v>
      </c>
      <c r="D452" s="1">
        <f t="shared" si="30"/>
        <v>5.0606820707290427E-5</v>
      </c>
      <c r="E452" s="1">
        <f t="shared" si="34"/>
        <v>0</v>
      </c>
    </row>
    <row r="453" spans="1:5" x14ac:dyDescent="0.25">
      <c r="A453" s="1">
        <f t="shared" si="31"/>
        <v>888</v>
      </c>
      <c r="B453" s="1">
        <f t="shared" si="32"/>
        <v>-6.570340652475584E-3</v>
      </c>
      <c r="C453" s="1">
        <f t="shared" si="33"/>
        <v>1.5852046123771704E-4</v>
      </c>
      <c r="D453" s="1">
        <f t="shared" si="30"/>
        <v>4.7000308728138734E-5</v>
      </c>
      <c r="E453" s="1">
        <f t="shared" si="34"/>
        <v>0</v>
      </c>
    </row>
    <row r="454" spans="1:5" x14ac:dyDescent="0.25">
      <c r="A454" s="1">
        <f t="shared" si="31"/>
        <v>890</v>
      </c>
      <c r="B454" s="1">
        <f t="shared" si="32"/>
        <v>-6.2532997300001501E-3</v>
      </c>
      <c r="C454" s="1">
        <f t="shared" si="33"/>
        <v>2.5252107869399448E-4</v>
      </c>
      <c r="D454" s="1">
        <f t="shared" si="30"/>
        <v>4.2008172985002118E-5</v>
      </c>
      <c r="E454" s="1">
        <f t="shared" si="34"/>
        <v>0</v>
      </c>
    </row>
    <row r="455" spans="1:5" x14ac:dyDescent="0.25">
      <c r="A455" s="1">
        <f t="shared" si="31"/>
        <v>892</v>
      </c>
      <c r="B455" s="1">
        <f t="shared" si="32"/>
        <v>-5.7482575726121614E-3</v>
      </c>
      <c r="C455" s="1">
        <f t="shared" si="33"/>
        <v>3.3653742466399872E-4</v>
      </c>
      <c r="D455" s="1">
        <f t="shared" si="30"/>
        <v>3.5817206085379691E-5</v>
      </c>
      <c r="E455" s="1">
        <f t="shared" si="34"/>
        <v>0</v>
      </c>
    </row>
    <row r="456" spans="1:5" x14ac:dyDescent="0.25">
      <c r="A456" s="1">
        <f t="shared" si="31"/>
        <v>894</v>
      </c>
      <c r="B456" s="1">
        <f t="shared" si="32"/>
        <v>-5.0751827232841636E-3</v>
      </c>
      <c r="C456" s="1">
        <f t="shared" si="33"/>
        <v>4.081718368347581E-4</v>
      </c>
      <c r="D456" s="1">
        <f t="shared" si="30"/>
        <v>2.8647420014444955E-5</v>
      </c>
      <c r="E456" s="1">
        <f t="shared" si="34"/>
        <v>0</v>
      </c>
    </row>
    <row r="457" spans="1:5" x14ac:dyDescent="0.25">
      <c r="A457" s="1">
        <f t="shared" si="31"/>
        <v>896</v>
      </c>
      <c r="B457" s="1">
        <f t="shared" si="32"/>
        <v>-4.2588390496146478E-3</v>
      </c>
      <c r="C457" s="1">
        <f t="shared" si="33"/>
        <v>4.6546667686364802E-4</v>
      </c>
      <c r="D457" s="1">
        <f t="shared" ref="D457:D509" si="35">-k*(B457-E457)/m-(b+bb)*C457</f>
        <v>2.0744437647048487E-5</v>
      </c>
      <c r="E457" s="1">
        <f t="shared" si="34"/>
        <v>0</v>
      </c>
    </row>
    <row r="458" spans="1:5" x14ac:dyDescent="0.25">
      <c r="A458" s="1">
        <f t="shared" ref="A458:A509" si="36">A457+dt</f>
        <v>898</v>
      </c>
      <c r="B458" s="1">
        <f t="shared" ref="B458:B509" si="37">B457+C457*dt</f>
        <v>-3.327905695887352E-3</v>
      </c>
      <c r="C458" s="1">
        <f t="shared" ref="C458:C509" si="38">C457+D457*dt</f>
        <v>5.06955552157745E-4</v>
      </c>
      <c r="D458" s="1">
        <f t="shared" si="35"/>
        <v>1.2371255630093779E-5</v>
      </c>
      <c r="E458" s="1">
        <f t="shared" si="34"/>
        <v>0</v>
      </c>
    </row>
    <row r="459" spans="1:5" x14ac:dyDescent="0.25">
      <c r="A459" s="1">
        <f t="shared" si="36"/>
        <v>900</v>
      </c>
      <c r="B459" s="1">
        <f t="shared" si="37"/>
        <v>-2.313994591571862E-3</v>
      </c>
      <c r="C459" s="1">
        <f t="shared" si="38"/>
        <v>5.3169806341793252E-4</v>
      </c>
      <c r="D459" s="1">
        <f t="shared" si="35"/>
        <v>3.7996497146599316E-6</v>
      </c>
      <c r="E459" s="1">
        <f t="shared" ref="E459:E509" si="39">E458</f>
        <v>0</v>
      </c>
    </row>
    <row r="460" spans="1:5" x14ac:dyDescent="0.25">
      <c r="A460" s="1">
        <f t="shared" si="36"/>
        <v>902</v>
      </c>
      <c r="B460" s="1">
        <f t="shared" si="37"/>
        <v>-1.250598464735997E-3</v>
      </c>
      <c r="C460" s="1">
        <f t="shared" si="38"/>
        <v>5.3929736284725235E-4</v>
      </c>
      <c r="D460" s="1">
        <f t="shared" si="35"/>
        <v>-4.6985012993655876E-6</v>
      </c>
      <c r="E460" s="1">
        <f t="shared" si="39"/>
        <v>0</v>
      </c>
    </row>
    <row r="461" spans="1:5" x14ac:dyDescent="0.25">
      <c r="A461" s="1">
        <f t="shared" si="36"/>
        <v>904</v>
      </c>
      <c r="B461" s="1">
        <f t="shared" si="37"/>
        <v>-1.7200373904149228E-4</v>
      </c>
      <c r="C461" s="1">
        <f t="shared" si="38"/>
        <v>5.2990036024852115E-4</v>
      </c>
      <c r="D461" s="1">
        <f t="shared" si="35"/>
        <v>-1.2859700490136728E-5</v>
      </c>
      <c r="E461" s="1">
        <f t="shared" si="39"/>
        <v>0</v>
      </c>
    </row>
    <row r="462" spans="1:5" x14ac:dyDescent="0.25">
      <c r="A462" s="1">
        <f t="shared" si="36"/>
        <v>906</v>
      </c>
      <c r="B462" s="1">
        <f t="shared" si="37"/>
        <v>8.8779698145555002E-4</v>
      </c>
      <c r="C462" s="1">
        <f t="shared" si="38"/>
        <v>5.0418095926824764E-4</v>
      </c>
      <c r="D462" s="1">
        <f t="shared" si="35"/>
        <v>-2.0436866163742325E-5</v>
      </c>
      <c r="E462" s="1">
        <f t="shared" si="39"/>
        <v>0</v>
      </c>
    </row>
    <row r="463" spans="1:5" x14ac:dyDescent="0.25">
      <c r="A463" s="1">
        <f t="shared" si="36"/>
        <v>908</v>
      </c>
      <c r="B463" s="1">
        <f t="shared" si="37"/>
        <v>1.8961588999920453E-3</v>
      </c>
      <c r="C463" s="1">
        <f t="shared" si="38"/>
        <v>4.6330722694076299E-4</v>
      </c>
      <c r="D463" s="1">
        <f t="shared" si="35"/>
        <v>-2.7206673101950401E-5</v>
      </c>
      <c r="E463" s="1">
        <f t="shared" si="39"/>
        <v>0</v>
      </c>
    </row>
    <row r="464" spans="1:5" x14ac:dyDescent="0.25">
      <c r="A464" s="1">
        <f t="shared" si="36"/>
        <v>910</v>
      </c>
      <c r="B464" s="1">
        <f t="shared" si="37"/>
        <v>2.8227733538735713E-3</v>
      </c>
      <c r="C464" s="1">
        <f t="shared" si="38"/>
        <v>4.088938807368622E-4</v>
      </c>
      <c r="D464" s="1">
        <f t="shared" si="35"/>
        <v>-3.2975988163961765E-5</v>
      </c>
      <c r="E464" s="1">
        <f t="shared" si="39"/>
        <v>0</v>
      </c>
    </row>
    <row r="465" spans="1:5" x14ac:dyDescent="0.25">
      <c r="A465" s="1">
        <f t="shared" si="36"/>
        <v>912</v>
      </c>
      <c r="B465" s="1">
        <f t="shared" si="37"/>
        <v>3.6405611153472956E-3</v>
      </c>
      <c r="C465" s="1">
        <f t="shared" si="38"/>
        <v>3.4294190440893867E-4</v>
      </c>
      <c r="D465" s="1">
        <f t="shared" si="35"/>
        <v>-3.7587219737868463E-5</v>
      </c>
      <c r="E465" s="1">
        <f t="shared" si="39"/>
        <v>0</v>
      </c>
    </row>
    <row r="466" spans="1:5" x14ac:dyDescent="0.25">
      <c r="A466" s="1">
        <f t="shared" si="36"/>
        <v>914</v>
      </c>
      <c r="B466" s="1">
        <f t="shared" si="37"/>
        <v>4.3264449241651728E-3</v>
      </c>
      <c r="C466" s="1">
        <f t="shared" si="38"/>
        <v>2.6776746493320177E-4</v>
      </c>
      <c r="D466" s="1">
        <f t="shared" si="35"/>
        <v>-4.092243846869815E-5</v>
      </c>
      <c r="E466" s="1">
        <f t="shared" si="39"/>
        <v>0</v>
      </c>
    </row>
    <row r="467" spans="1:5" x14ac:dyDescent="0.25">
      <c r="A467" s="1">
        <f t="shared" si="36"/>
        <v>916</v>
      </c>
      <c r="B467" s="1">
        <f t="shared" si="37"/>
        <v>4.8619798540315761E-3</v>
      </c>
      <c r="C467" s="1">
        <f t="shared" si="38"/>
        <v>1.8592258799580546E-4</v>
      </c>
      <c r="D467" s="1">
        <f t="shared" si="35"/>
        <v>-4.2906168219733884E-5</v>
      </c>
      <c r="E467" s="1">
        <f t="shared" si="39"/>
        <v>0</v>
      </c>
    </row>
    <row r="468" spans="1:5" x14ac:dyDescent="0.25">
      <c r="A468" s="1">
        <f t="shared" si="36"/>
        <v>918</v>
      </c>
      <c r="B468" s="1">
        <f t="shared" si="37"/>
        <v>5.2338250300231872E-3</v>
      </c>
      <c r="C468" s="1">
        <f t="shared" si="38"/>
        <v>1.0011025155633769E-4</v>
      </c>
      <c r="D468" s="1">
        <f t="shared" si="35"/>
        <v>-4.3506789975890706E-5</v>
      </c>
      <c r="E468" s="1">
        <f t="shared" si="39"/>
        <v>0</v>
      </c>
    </row>
    <row r="469" spans="1:5" x14ac:dyDescent="0.25">
      <c r="A469" s="1">
        <f t="shared" si="36"/>
        <v>920</v>
      </c>
      <c r="B469" s="1">
        <f t="shared" si="37"/>
        <v>5.4340455331358629E-3</v>
      </c>
      <c r="C469" s="1">
        <f t="shared" si="38"/>
        <v>1.3096671604556281E-5</v>
      </c>
      <c r="D469" s="1">
        <f t="shared" si="35"/>
        <v>-4.2736545957461842E-5</v>
      </c>
      <c r="E469" s="1">
        <f t="shared" si="39"/>
        <v>0</v>
      </c>
    </row>
    <row r="470" spans="1:5" x14ac:dyDescent="0.25">
      <c r="A470" s="1">
        <f t="shared" si="36"/>
        <v>922</v>
      </c>
      <c r="B470" s="1">
        <f t="shared" si="37"/>
        <v>5.4602388763449758E-3</v>
      </c>
      <c r="C470" s="1">
        <f t="shared" si="38"/>
        <v>-7.2376420310367402E-5</v>
      </c>
      <c r="D470" s="1">
        <f t="shared" si="35"/>
        <v>-4.0650175171172962E-5</v>
      </c>
      <c r="E470" s="1">
        <f t="shared" si="39"/>
        <v>0</v>
      </c>
    </row>
    <row r="471" spans="1:5" x14ac:dyDescent="0.25">
      <c r="A471" s="1">
        <f t="shared" si="36"/>
        <v>924</v>
      </c>
      <c r="B471" s="1">
        <f t="shared" si="37"/>
        <v>5.3154860357242407E-3</v>
      </c>
      <c r="C471" s="1">
        <f t="shared" si="38"/>
        <v>-1.5367677065271333E-4</v>
      </c>
      <c r="D471" s="1">
        <f t="shared" si="35"/>
        <v>-3.7342253625156361E-5</v>
      </c>
      <c r="E471" s="1">
        <f t="shared" si="39"/>
        <v>0</v>
      </c>
    </row>
    <row r="472" spans="1:5" x14ac:dyDescent="0.25">
      <c r="A472" s="1">
        <f t="shared" si="36"/>
        <v>926</v>
      </c>
      <c r="B472" s="1">
        <f t="shared" si="37"/>
        <v>5.0081324944188143E-3</v>
      </c>
      <c r="C472" s="1">
        <f t="shared" si="38"/>
        <v>-2.2836127790302606E-4</v>
      </c>
      <c r="D472" s="1">
        <f t="shared" si="35"/>
        <v>-3.2943351208665645E-5</v>
      </c>
      <c r="E472" s="1">
        <f t="shared" si="39"/>
        <v>0</v>
      </c>
    </row>
    <row r="473" spans="1:5" x14ac:dyDescent="0.25">
      <c r="A473" s="1">
        <f t="shared" si="36"/>
        <v>928</v>
      </c>
      <c r="B473" s="1">
        <f t="shared" si="37"/>
        <v>4.5514099386127624E-3</v>
      </c>
      <c r="C473" s="1">
        <f t="shared" si="38"/>
        <v>-2.9424798032035737E-4</v>
      </c>
      <c r="D473" s="1">
        <f t="shared" si="35"/>
        <v>-2.7615151648593967E-5</v>
      </c>
      <c r="E473" s="1">
        <f t="shared" si="39"/>
        <v>0</v>
      </c>
    </row>
    <row r="474" spans="1:5" x14ac:dyDescent="0.25">
      <c r="A474" s="1">
        <f t="shared" si="36"/>
        <v>930</v>
      </c>
      <c r="B474" s="1">
        <f t="shared" si="37"/>
        <v>3.9629139779720473E-3</v>
      </c>
      <c r="C474" s="1">
        <f t="shared" si="38"/>
        <v>-3.4947828361754532E-4</v>
      </c>
      <c r="D474" s="1">
        <f t="shared" si="35"/>
        <v>-2.1544711027231751E-5</v>
      </c>
      <c r="E474" s="1">
        <f t="shared" si="39"/>
        <v>0</v>
      </c>
    </row>
    <row r="475" spans="1:5" x14ac:dyDescent="0.25">
      <c r="A475" s="1">
        <f t="shared" si="36"/>
        <v>932</v>
      </c>
      <c r="B475" s="1">
        <f t="shared" si="37"/>
        <v>3.2639574107369567E-3</v>
      </c>
      <c r="C475" s="1">
        <f t="shared" si="38"/>
        <v>-3.9256770567200881E-4</v>
      </c>
      <c r="D475" s="1">
        <f t="shared" si="35"/>
        <v>-1.4938053291738423E-5</v>
      </c>
      <c r="E475" s="1">
        <f t="shared" si="39"/>
        <v>0</v>
      </c>
    </row>
    <row r="476" spans="1:5" x14ac:dyDescent="0.25">
      <c r="A476" s="1">
        <f t="shared" si="36"/>
        <v>934</v>
      </c>
      <c r="B476" s="1">
        <f t="shared" si="37"/>
        <v>2.478821999392939E-3</v>
      </c>
      <c r="C476" s="1">
        <f t="shared" si="38"/>
        <v>-4.2244381225548563E-4</v>
      </c>
      <c r="D476" s="1">
        <f t="shared" si="35"/>
        <v>-8.013317426817908E-6</v>
      </c>
      <c r="E476" s="1">
        <f t="shared" si="39"/>
        <v>0</v>
      </c>
    </row>
    <row r="477" spans="1:5" x14ac:dyDescent="0.25">
      <c r="A477" s="1">
        <f t="shared" si="36"/>
        <v>936</v>
      </c>
      <c r="B477" s="1">
        <f t="shared" si="37"/>
        <v>1.6339343748819678E-3</v>
      </c>
      <c r="C477" s="1">
        <f t="shared" si="38"/>
        <v>-4.3847044710912142E-4</v>
      </c>
      <c r="D477" s="1">
        <f t="shared" si="35"/>
        <v>-9.9368014155489316E-7</v>
      </c>
      <c r="E477" s="1">
        <f t="shared" si="39"/>
        <v>0</v>
      </c>
    </row>
    <row r="478" spans="1:5" x14ac:dyDescent="0.25">
      <c r="A478" s="1">
        <f t="shared" si="36"/>
        <v>938</v>
      </c>
      <c r="B478" s="1">
        <f t="shared" si="37"/>
        <v>7.5699348066372494E-4</v>
      </c>
      <c r="C478" s="1">
        <f t="shared" si="38"/>
        <v>-4.404578073922312E-4</v>
      </c>
      <c r="D478" s="1">
        <f t="shared" si="35"/>
        <v>5.8997200889347428E-6</v>
      </c>
      <c r="E478" s="1">
        <f t="shared" si="39"/>
        <v>0</v>
      </c>
    </row>
    <row r="479" spans="1:5" x14ac:dyDescent="0.25">
      <c r="A479" s="1">
        <f t="shared" si="36"/>
        <v>940</v>
      </c>
      <c r="B479" s="1">
        <f t="shared" si="37"/>
        <v>-1.2392213412073746E-4</v>
      </c>
      <c r="C479" s="1">
        <f t="shared" si="38"/>
        <v>-4.2865836721436173E-4</v>
      </c>
      <c r="D479" s="1">
        <f t="shared" si="35"/>
        <v>1.2454636887486647E-5</v>
      </c>
      <c r="E479" s="1">
        <f t="shared" si="39"/>
        <v>0</v>
      </c>
    </row>
    <row r="480" spans="1:5" x14ac:dyDescent="0.25">
      <c r="A480" s="1">
        <f t="shared" si="36"/>
        <v>942</v>
      </c>
      <c r="B480" s="1">
        <f t="shared" si="37"/>
        <v>-9.8123886854946081E-4</v>
      </c>
      <c r="C480" s="1">
        <f t="shared" si="38"/>
        <v>-4.0374909343938846E-4</v>
      </c>
      <c r="D480" s="1">
        <f t="shared" si="35"/>
        <v>1.8474138878861403E-5</v>
      </c>
      <c r="E480" s="1">
        <f t="shared" si="39"/>
        <v>0</v>
      </c>
    </row>
    <row r="481" spans="1:5" x14ac:dyDescent="0.25">
      <c r="A481" s="1">
        <f t="shared" si="36"/>
        <v>944</v>
      </c>
      <c r="B481" s="1">
        <f t="shared" si="37"/>
        <v>-1.7887370554282378E-3</v>
      </c>
      <c r="C481" s="1">
        <f t="shared" si="38"/>
        <v>-3.6680081568166563E-4</v>
      </c>
      <c r="D481" s="1">
        <f t="shared" si="35"/>
        <v>2.3782410892608895E-5</v>
      </c>
      <c r="E481" s="1">
        <f t="shared" si="39"/>
        <v>0</v>
      </c>
    </row>
    <row r="482" spans="1:5" x14ac:dyDescent="0.25">
      <c r="A482" s="1">
        <f t="shared" si="36"/>
        <v>946</v>
      </c>
      <c r="B482" s="1">
        <f t="shared" si="37"/>
        <v>-2.5223386867915692E-3</v>
      </c>
      <c r="C482" s="1">
        <f t="shared" si="38"/>
        <v>-3.1923599389644785E-4</v>
      </c>
      <c r="D482" s="1">
        <f t="shared" si="35"/>
        <v>2.8229766393399044E-5</v>
      </c>
      <c r="E482" s="1">
        <f t="shared" si="39"/>
        <v>0</v>
      </c>
    </row>
    <row r="483" spans="1:5" x14ac:dyDescent="0.25">
      <c r="A483" s="1">
        <f t="shared" si="36"/>
        <v>948</v>
      </c>
      <c r="B483" s="1">
        <f t="shared" si="37"/>
        <v>-3.1608106745844647E-3</v>
      </c>
      <c r="C483" s="1">
        <f t="shared" si="38"/>
        <v>-2.6277646110964975E-4</v>
      </c>
      <c r="D483" s="1">
        <f t="shared" si="35"/>
        <v>3.1696732419497436E-5</v>
      </c>
      <c r="E483" s="1">
        <f t="shared" si="39"/>
        <v>0</v>
      </c>
    </row>
    <row r="484" spans="1:5" x14ac:dyDescent="0.25">
      <c r="A484" s="1">
        <f t="shared" si="36"/>
        <v>950</v>
      </c>
      <c r="B484" s="1">
        <f t="shared" si="37"/>
        <v>-3.6863635968037642E-3</v>
      </c>
      <c r="C484" s="1">
        <f t="shared" si="38"/>
        <v>-1.9938299627065488E-4</v>
      </c>
      <c r="D484" s="1">
        <f t="shared" si="35"/>
        <v>3.4097100355122909E-5</v>
      </c>
      <c r="E484" s="1">
        <f t="shared" si="39"/>
        <v>0</v>
      </c>
    </row>
    <row r="485" spans="1:5" x14ac:dyDescent="0.25">
      <c r="A485" s="1">
        <f t="shared" si="36"/>
        <v>952</v>
      </c>
      <c r="B485" s="1">
        <f t="shared" si="37"/>
        <v>-4.0851295893450743E-3</v>
      </c>
      <c r="C485" s="1">
        <f t="shared" si="38"/>
        <v>-1.3118879556040907E-4</v>
      </c>
      <c r="D485" s="1">
        <f t="shared" si="35"/>
        <v>3.5379870517910538E-5</v>
      </c>
      <c r="E485" s="1">
        <f t="shared" si="39"/>
        <v>0</v>
      </c>
    </row>
    <row r="486" spans="1:5" x14ac:dyDescent="0.25">
      <c r="A486" s="1">
        <f t="shared" si="36"/>
        <v>954</v>
      </c>
      <c r="B486" s="1">
        <f t="shared" si="37"/>
        <v>-4.3475071804658927E-3</v>
      </c>
      <c r="C486" s="1">
        <f t="shared" si="38"/>
        <v>-6.0429054524587997E-5</v>
      </c>
      <c r="D486" s="1">
        <f t="shared" si="35"/>
        <v>3.5530054668892921E-5</v>
      </c>
      <c r="E486" s="1">
        <f t="shared" si="39"/>
        <v>0</v>
      </c>
    </row>
    <row r="487" spans="1:5" x14ac:dyDescent="0.25">
      <c r="A487" s="1">
        <f t="shared" si="36"/>
        <v>956</v>
      </c>
      <c r="B487" s="1">
        <f t="shared" si="37"/>
        <v>-4.4683652895150684E-3</v>
      </c>
      <c r="C487" s="1">
        <f t="shared" si="38"/>
        <v>1.0631054813197845E-5</v>
      </c>
      <c r="D487" s="1">
        <f t="shared" si="35"/>
        <v>3.456833698922383E-5</v>
      </c>
      <c r="E487" s="1">
        <f t="shared" si="39"/>
        <v>0</v>
      </c>
    </row>
    <row r="488" spans="1:5" x14ac:dyDescent="0.25">
      <c r="A488" s="1">
        <f t="shared" si="36"/>
        <v>958</v>
      </c>
      <c r="B488" s="1">
        <f t="shared" si="37"/>
        <v>-4.4471031798886725E-3</v>
      </c>
      <c r="C488" s="1">
        <f t="shared" si="38"/>
        <v>7.9767728791645505E-5</v>
      </c>
      <c r="D488" s="1">
        <f t="shared" si="35"/>
        <v>3.254962967151554E-5</v>
      </c>
      <c r="E488" s="1">
        <f t="shared" si="39"/>
        <v>0</v>
      </c>
    </row>
    <row r="489" spans="1:5" x14ac:dyDescent="0.25">
      <c r="A489" s="1">
        <f t="shared" si="36"/>
        <v>960</v>
      </c>
      <c r="B489" s="1">
        <f t="shared" si="37"/>
        <v>-4.2875677223053812E-3</v>
      </c>
      <c r="C489" s="1">
        <f t="shared" si="38"/>
        <v>1.4486698813467657E-4</v>
      </c>
      <c r="D489" s="1">
        <f t="shared" si="35"/>
        <v>2.9560592951972639E-5</v>
      </c>
      <c r="E489" s="1">
        <f t="shared" si="39"/>
        <v>0</v>
      </c>
    </row>
    <row r="490" spans="1:5" x14ac:dyDescent="0.25">
      <c r="A490" s="1">
        <f t="shared" si="36"/>
        <v>962</v>
      </c>
      <c r="B490" s="1">
        <f t="shared" si="37"/>
        <v>-3.9978337460360282E-3</v>
      </c>
      <c r="C490" s="1">
        <f t="shared" si="38"/>
        <v>2.0398817403862184E-4</v>
      </c>
      <c r="D490" s="1">
        <f t="shared" si="35"/>
        <v>2.5716220154845952E-5</v>
      </c>
      <c r="E490" s="1">
        <f t="shared" si="39"/>
        <v>0</v>
      </c>
    </row>
    <row r="491" spans="1:5" x14ac:dyDescent="0.25">
      <c r="A491" s="1">
        <f t="shared" si="36"/>
        <v>964</v>
      </c>
      <c r="B491" s="1">
        <f t="shared" si="37"/>
        <v>-3.5898573979587845E-3</v>
      </c>
      <c r="C491" s="1">
        <f t="shared" si="38"/>
        <v>2.5542061434831372E-4</v>
      </c>
      <c r="D491" s="1">
        <f t="shared" si="35"/>
        <v>2.1155615239543712E-5</v>
      </c>
      <c r="E491" s="1">
        <f t="shared" si="39"/>
        <v>0</v>
      </c>
    </row>
    <row r="492" spans="1:5" x14ac:dyDescent="0.25">
      <c r="A492" s="1">
        <f t="shared" si="36"/>
        <v>966</v>
      </c>
      <c r="B492" s="1">
        <f t="shared" si="37"/>
        <v>-3.0790161692621572E-3</v>
      </c>
      <c r="C492" s="1">
        <f t="shared" si="38"/>
        <v>2.9773184482740115E-4</v>
      </c>
      <c r="D492" s="1">
        <f t="shared" si="35"/>
        <v>1.6037112678870475E-5</v>
      </c>
      <c r="E492" s="1">
        <f t="shared" si="39"/>
        <v>0</v>
      </c>
    </row>
    <row r="493" spans="1:5" x14ac:dyDescent="0.25">
      <c r="A493" s="1">
        <f t="shared" si="36"/>
        <v>968</v>
      </c>
      <c r="B493" s="1">
        <f t="shared" si="37"/>
        <v>-2.4835524796073547E-3</v>
      </c>
      <c r="C493" s="1">
        <f t="shared" si="38"/>
        <v>3.2980607018514207E-4</v>
      </c>
      <c r="D493" s="1">
        <f t="shared" si="35"/>
        <v>1.0532906659975558E-5</v>
      </c>
      <c r="E493" s="1">
        <f t="shared" si="39"/>
        <v>0</v>
      </c>
    </row>
    <row r="494" spans="1:5" x14ac:dyDescent="0.25">
      <c r="A494" s="1">
        <f t="shared" si="36"/>
        <v>970</v>
      </c>
      <c r="B494" s="1">
        <f t="shared" si="37"/>
        <v>-1.8239403392370705E-3</v>
      </c>
      <c r="C494" s="1">
        <f t="shared" si="38"/>
        <v>3.5087188350509319E-4</v>
      </c>
      <c r="D494" s="1">
        <f t="shared" si="35"/>
        <v>4.8233681681126511E-6</v>
      </c>
      <c r="E494" s="1">
        <f t="shared" si="39"/>
        <v>0</v>
      </c>
    </row>
    <row r="495" spans="1:5" x14ac:dyDescent="0.25">
      <c r="A495" s="1">
        <f t="shared" si="36"/>
        <v>972</v>
      </c>
      <c r="B495" s="1">
        <f t="shared" si="37"/>
        <v>-1.1221965722268842E-3</v>
      </c>
      <c r="C495" s="1">
        <f t="shared" si="38"/>
        <v>3.6051861984131851E-4</v>
      </c>
      <c r="D495" s="1">
        <f t="shared" si="35"/>
        <v>-9.0876574837764068E-7</v>
      </c>
      <c r="E495" s="1">
        <f t="shared" si="39"/>
        <v>0</v>
      </c>
    </row>
    <row r="496" spans="1:5" x14ac:dyDescent="0.25">
      <c r="A496" s="1">
        <f t="shared" si="36"/>
        <v>974</v>
      </c>
      <c r="B496" s="1">
        <f t="shared" si="37"/>
        <v>-4.0115933254424713E-4</v>
      </c>
      <c r="C496" s="1">
        <f t="shared" si="38"/>
        <v>3.5870108834456323E-4</v>
      </c>
      <c r="D496" s="1">
        <f t="shared" si="35"/>
        <v>-6.4841463737891669E-6</v>
      </c>
      <c r="E496" s="1">
        <f t="shared" si="39"/>
        <v>0</v>
      </c>
    </row>
    <row r="497" spans="1:5" x14ac:dyDescent="0.25">
      <c r="A497" s="1">
        <f t="shared" si="36"/>
        <v>976</v>
      </c>
      <c r="B497" s="1">
        <f t="shared" si="37"/>
        <v>3.1624284414487932E-4</v>
      </c>
      <c r="C497" s="1">
        <f t="shared" si="38"/>
        <v>3.457327955969849E-4</v>
      </c>
      <c r="D497" s="1">
        <f t="shared" si="35"/>
        <v>-1.1732333106329255E-5</v>
      </c>
      <c r="E497" s="1">
        <f t="shared" si="39"/>
        <v>0</v>
      </c>
    </row>
    <row r="498" spans="1:5" x14ac:dyDescent="0.25">
      <c r="A498" s="1">
        <f t="shared" si="36"/>
        <v>978</v>
      </c>
      <c r="B498" s="1">
        <f t="shared" si="37"/>
        <v>1.0077084353388491E-3</v>
      </c>
      <c r="C498" s="1">
        <f t="shared" si="38"/>
        <v>3.222681293843264E-4</v>
      </c>
      <c r="D498" s="1">
        <f t="shared" si="35"/>
        <v>-1.649691166314297E-5</v>
      </c>
      <c r="E498" s="1">
        <f t="shared" si="39"/>
        <v>0</v>
      </c>
    </row>
    <row r="499" spans="1:5" x14ac:dyDescent="0.25">
      <c r="A499" s="1">
        <f t="shared" si="36"/>
        <v>980</v>
      </c>
      <c r="B499" s="1">
        <f t="shared" si="37"/>
        <v>1.6522446941075019E-3</v>
      </c>
      <c r="C499" s="1">
        <f t="shared" si="38"/>
        <v>2.8927430605804047E-4</v>
      </c>
      <c r="D499" s="1">
        <f t="shared" si="35"/>
        <v>-2.0640060016394001E-5</v>
      </c>
      <c r="E499" s="1">
        <f t="shared" si="39"/>
        <v>0</v>
      </c>
    </row>
    <row r="500" spans="1:5" x14ac:dyDescent="0.25">
      <c r="A500" s="1">
        <f t="shared" si="36"/>
        <v>982</v>
      </c>
      <c r="B500" s="1">
        <f t="shared" si="37"/>
        <v>2.230793306223583E-3</v>
      </c>
      <c r="C500" s="1">
        <f t="shared" si="38"/>
        <v>2.4799418602525246E-4</v>
      </c>
      <c r="D500" s="1">
        <f t="shared" si="35"/>
        <v>-2.4046431974020715E-5</v>
      </c>
      <c r="E500" s="1">
        <f t="shared" si="39"/>
        <v>0</v>
      </c>
    </row>
    <row r="501" spans="1:5" x14ac:dyDescent="0.25">
      <c r="A501" s="1">
        <f t="shared" si="36"/>
        <v>984</v>
      </c>
      <c r="B501" s="1">
        <f t="shared" si="37"/>
        <v>2.7267816782740881E-3</v>
      </c>
      <c r="C501" s="1">
        <f t="shared" si="38"/>
        <v>1.9990132207721103E-4</v>
      </c>
      <c r="D501" s="1">
        <f t="shared" si="35"/>
        <v>-2.662625252220714E-5</v>
      </c>
      <c r="E501" s="1">
        <f t="shared" si="39"/>
        <v>0</v>
      </c>
    </row>
    <row r="502" spans="1:5" x14ac:dyDescent="0.25">
      <c r="A502" s="1">
        <f t="shared" si="36"/>
        <v>986</v>
      </c>
      <c r="B502" s="1">
        <f t="shared" si="37"/>
        <v>3.1265843224285101E-3</v>
      </c>
      <c r="C502" s="1">
        <f t="shared" si="38"/>
        <v>1.4664881703279676E-4</v>
      </c>
      <c r="D502" s="1">
        <f t="shared" si="35"/>
        <v>-2.8317546011421328E-5</v>
      </c>
      <c r="E502" s="1">
        <f t="shared" si="39"/>
        <v>0</v>
      </c>
    </row>
    <row r="503" spans="1:5" x14ac:dyDescent="0.25">
      <c r="A503" s="1">
        <f t="shared" si="36"/>
        <v>988</v>
      </c>
      <c r="B503" s="1">
        <f t="shared" si="37"/>
        <v>3.4198819564941036E-3</v>
      </c>
      <c r="C503" s="1">
        <f t="shared" si="38"/>
        <v>9.0013725009954098E-5</v>
      </c>
      <c r="D503" s="1">
        <f t="shared" si="35"/>
        <v>-2.9087447090920778E-5</v>
      </c>
      <c r="E503" s="1">
        <f t="shared" si="39"/>
        <v>0</v>
      </c>
    </row>
    <row r="504" spans="1:5" x14ac:dyDescent="0.25">
      <c r="A504" s="1">
        <f t="shared" si="36"/>
        <v>990</v>
      </c>
      <c r="B504" s="1">
        <f t="shared" si="37"/>
        <v>3.5999094065140118E-3</v>
      </c>
      <c r="C504" s="1">
        <f t="shared" si="38"/>
        <v>3.1838830828112541E-5</v>
      </c>
      <c r="D504" s="1">
        <f t="shared" si="35"/>
        <v>-2.8932574037002706E-5</v>
      </c>
      <c r="E504" s="1">
        <f t="shared" si="39"/>
        <v>0</v>
      </c>
    </row>
    <row r="505" spans="1:5" x14ac:dyDescent="0.25">
      <c r="A505" s="1">
        <f t="shared" si="36"/>
        <v>992</v>
      </c>
      <c r="B505" s="1">
        <f t="shared" si="37"/>
        <v>3.6635870681702371E-3</v>
      </c>
      <c r="C505" s="1">
        <f t="shared" si="38"/>
        <v>-2.602631724589287E-5</v>
      </c>
      <c r="D505" s="1">
        <f t="shared" si="35"/>
        <v>-2.7878473829537919E-5</v>
      </c>
      <c r="E505" s="1">
        <f t="shared" si="39"/>
        <v>0</v>
      </c>
    </row>
    <row r="506" spans="1:5" x14ac:dyDescent="0.25">
      <c r="A506" s="1">
        <f t="shared" si="36"/>
        <v>994</v>
      </c>
      <c r="B506" s="1">
        <f t="shared" si="37"/>
        <v>3.6115344336784512E-3</v>
      </c>
      <c r="C506" s="1">
        <f t="shared" si="38"/>
        <v>-8.1783264904968715E-5</v>
      </c>
      <c r="D506" s="1">
        <f t="shared" si="35"/>
        <v>-2.5978177083238756E-5</v>
      </c>
      <c r="E506" s="1">
        <f t="shared" si="39"/>
        <v>0</v>
      </c>
    </row>
    <row r="507" spans="1:5" x14ac:dyDescent="0.25">
      <c r="A507" s="1">
        <f t="shared" si="36"/>
        <v>996</v>
      </c>
      <c r="B507" s="1">
        <f t="shared" si="37"/>
        <v>3.4479679038685136E-3</v>
      </c>
      <c r="C507" s="1">
        <f t="shared" si="38"/>
        <v>-1.3373961907144622E-4</v>
      </c>
      <c r="D507" s="1">
        <f t="shared" si="35"/>
        <v>-2.3309927859059645E-5</v>
      </c>
      <c r="E507" s="1">
        <f t="shared" si="39"/>
        <v>0</v>
      </c>
    </row>
    <row r="508" spans="1:5" x14ac:dyDescent="0.25">
      <c r="A508" s="1">
        <f t="shared" si="36"/>
        <v>998</v>
      </c>
      <c r="B508" s="1">
        <f t="shared" si="37"/>
        <v>3.1804886657256213E-3</v>
      </c>
      <c r="C508" s="1">
        <f t="shared" si="38"/>
        <v>-1.8035947478956552E-4</v>
      </c>
      <c r="D508" s="1">
        <f t="shared" si="35"/>
        <v>-1.9974177668299488E-5</v>
      </c>
      <c r="E508" s="1">
        <f t="shared" si="39"/>
        <v>0</v>
      </c>
    </row>
    <row r="509" spans="1:5" x14ac:dyDescent="0.25">
      <c r="A509" s="1">
        <f t="shared" si="36"/>
        <v>1000</v>
      </c>
      <c r="B509" s="1">
        <f t="shared" si="37"/>
        <v>2.8197697161464904E-3</v>
      </c>
      <c r="C509" s="1">
        <f t="shared" si="38"/>
        <v>-2.2030783012616449E-4</v>
      </c>
      <c r="D509" s="1">
        <f t="shared" si="35"/>
        <v>-1.6089953938561418E-5</v>
      </c>
      <c r="E509" s="1">
        <f t="shared" si="39"/>
        <v>0</v>
      </c>
    </row>
  </sheetData>
  <autoFilter ref="A8:F509" xr:uid="{00000000-0009-0000-0000-000000000000}"/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510"/>
  <sheetViews>
    <sheetView tabSelected="1" workbookViewId="0">
      <selection activeCell="F13" sqref="F13:F19"/>
    </sheetView>
  </sheetViews>
  <sheetFormatPr defaultRowHeight="15" x14ac:dyDescent="0.25"/>
  <sheetData>
    <row r="1" spans="1:16" x14ac:dyDescent="0.25">
      <c r="A1" t="s">
        <v>4</v>
      </c>
      <c r="B1">
        <v>1</v>
      </c>
      <c r="C1" t="s">
        <v>6</v>
      </c>
    </row>
    <row r="2" spans="1:16" x14ac:dyDescent="0.25">
      <c r="A2" t="s">
        <v>5</v>
      </c>
      <c r="B2" s="7">
        <v>7.7999999999999996E-3</v>
      </c>
      <c r="C2" t="s">
        <v>7</v>
      </c>
    </row>
    <row r="3" spans="1:16" x14ac:dyDescent="0.25">
      <c r="A3" t="s">
        <v>3</v>
      </c>
      <c r="B3">
        <v>2</v>
      </c>
      <c r="C3" t="s">
        <v>25</v>
      </c>
    </row>
    <row r="4" spans="1:16" x14ac:dyDescent="0.25">
      <c r="A4" t="s">
        <v>9</v>
      </c>
      <c r="B4" s="7">
        <v>2.6800000000000001E-2</v>
      </c>
      <c r="C4" t="s">
        <v>12</v>
      </c>
      <c r="M4" t="s">
        <v>60</v>
      </c>
    </row>
    <row r="5" spans="1:16" x14ac:dyDescent="0.25">
      <c r="A5" t="s">
        <v>10</v>
      </c>
      <c r="B5" s="7">
        <v>0</v>
      </c>
      <c r="C5" t="s">
        <v>11</v>
      </c>
      <c r="D5" t="s">
        <v>24</v>
      </c>
    </row>
    <row r="6" spans="1:16" x14ac:dyDescent="0.25">
      <c r="A6" t="s">
        <v>19</v>
      </c>
      <c r="B6">
        <v>0</v>
      </c>
      <c r="M6" s="9" t="s">
        <v>27</v>
      </c>
      <c r="N6" s="9" t="s">
        <v>61</v>
      </c>
      <c r="O6" s="9" t="s">
        <v>62</v>
      </c>
      <c r="P6" s="9"/>
    </row>
    <row r="7" spans="1:16" x14ac:dyDescent="0.25">
      <c r="M7" s="10" t="s">
        <v>3</v>
      </c>
      <c r="N7" s="10">
        <v>2</v>
      </c>
      <c r="O7" s="10">
        <v>5</v>
      </c>
    </row>
    <row r="8" spans="1:16" x14ac:dyDescent="0.25">
      <c r="A8" s="3" t="s">
        <v>22</v>
      </c>
      <c r="B8" s="3"/>
      <c r="C8" s="3"/>
      <c r="D8" s="3"/>
      <c r="E8" s="3" t="s">
        <v>23</v>
      </c>
      <c r="F8" s="6">
        <f ca="1">$F$46</f>
        <v>-96.956869235227174</v>
      </c>
      <c r="J8" t="s">
        <v>59</v>
      </c>
      <c r="K8">
        <v>0.02</v>
      </c>
      <c r="M8" s="10" t="s">
        <v>5</v>
      </c>
      <c r="N8" s="10">
        <v>7.7999999999999996E-3</v>
      </c>
      <c r="O8">
        <v>6.6E-4</v>
      </c>
    </row>
    <row r="9" spans="1:16" x14ac:dyDescent="0.25">
      <c r="A9" s="5">
        <v>0</v>
      </c>
      <c r="B9" s="4">
        <v>1</v>
      </c>
      <c r="C9" s="4">
        <v>0</v>
      </c>
      <c r="D9" s="3"/>
      <c r="E9" s="3" t="s">
        <v>0</v>
      </c>
      <c r="F9" s="3" t="s">
        <v>21</v>
      </c>
      <c r="G9" s="3" t="s">
        <v>1</v>
      </c>
      <c r="H9" s="3" t="s">
        <v>2</v>
      </c>
      <c r="I9" s="3" t="s">
        <v>53</v>
      </c>
      <c r="J9" s="3" t="s">
        <v>19</v>
      </c>
      <c r="K9" s="3" t="s">
        <v>58</v>
      </c>
      <c r="M9" s="10" t="s">
        <v>9</v>
      </c>
      <c r="N9">
        <v>2.6800000000000001E-2</v>
      </c>
      <c r="O9" s="10">
        <v>6.0499999999999998E-3</v>
      </c>
    </row>
    <row r="10" spans="1:16" x14ac:dyDescent="0.25">
      <c r="A10">
        <v>0.02</v>
      </c>
      <c r="B10">
        <v>0.98440000000000005</v>
      </c>
      <c r="C10">
        <v>-0.78</v>
      </c>
      <c r="E10" s="1">
        <v>0</v>
      </c>
      <c r="F10" s="1">
        <v>0</v>
      </c>
      <c r="G10" s="1">
        <v>0</v>
      </c>
      <c r="H10" s="1">
        <f t="shared" ref="H10:H73" si="0">-k*(F10-I10)/m-(b+bb)*G10</f>
        <v>-0.58499999999999996</v>
      </c>
      <c r="I10" s="1">
        <v>-75</v>
      </c>
      <c r="J10" s="1"/>
      <c r="K10" s="1">
        <f t="shared" ref="K10:K73" ca="1" si="1">NoiseAmp*(0.5-RAND())</f>
        <v>7.1063888195015967E-3</v>
      </c>
      <c r="M10" s="10" t="s">
        <v>65</v>
      </c>
      <c r="N10" s="10">
        <v>-75</v>
      </c>
      <c r="O10" s="10">
        <v>65</v>
      </c>
      <c r="P10" t="s">
        <v>70</v>
      </c>
    </row>
    <row r="11" spans="1:16" x14ac:dyDescent="0.25">
      <c r="A11">
        <v>0.04</v>
      </c>
      <c r="B11">
        <v>0.95344336000000007</v>
      </c>
      <c r="C11">
        <v>-1.5478320000000001</v>
      </c>
      <c r="E11" s="1">
        <f t="shared" ref="E11:E74" si="2">E10+dt</f>
        <v>2</v>
      </c>
      <c r="F11" s="1">
        <f t="shared" ref="F11:F26" si="3">F10+G10*dt</f>
        <v>0</v>
      </c>
      <c r="G11" s="1">
        <f t="shared" ref="G11:G74" si="4">IF(ABS(F11)&gt;100,-1.2*G10,G10+H10*dt)</f>
        <v>-1.17</v>
      </c>
      <c r="H11" s="1">
        <f t="shared" ca="1" si="0"/>
        <v>-0.55358762166320763</v>
      </c>
      <c r="I11" s="1">
        <f ca="1">I10+K11</f>
        <v>-74.992772008103557</v>
      </c>
      <c r="K11" s="1">
        <f t="shared" ca="1" si="1"/>
        <v>7.2279918964361905E-3</v>
      </c>
      <c r="M11" s="10"/>
      <c r="N11" s="10"/>
      <c r="O11" s="10"/>
    </row>
    <row r="12" spans="1:16" x14ac:dyDescent="0.25">
      <c r="A12">
        <v>0.06</v>
      </c>
      <c r="B12">
        <v>0.9076130035840001</v>
      </c>
      <c r="C12">
        <v>-2.2915178208000002</v>
      </c>
      <c r="E12" s="1">
        <f t="shared" si="2"/>
        <v>4</v>
      </c>
      <c r="F12" s="1">
        <f t="shared" si="3"/>
        <v>-2.34</v>
      </c>
      <c r="G12" s="1">
        <f t="shared" ca="1" si="4"/>
        <v>-2.2771752433264152</v>
      </c>
      <c r="H12" s="1">
        <f t="shared" ca="1" si="0"/>
        <v>-0.50560534027726167</v>
      </c>
      <c r="I12" s="1">
        <f t="shared" ref="I12:I75" ca="1" si="5">I11+K12</f>
        <v>-74.985338051078159</v>
      </c>
      <c r="K12" s="1">
        <f t="shared" ca="1" si="1"/>
        <v>7.4339570253971043E-3</v>
      </c>
      <c r="M12" s="10" t="s">
        <v>69</v>
      </c>
      <c r="N12" s="10">
        <v>31</v>
      </c>
    </row>
    <row r="13" spans="1:16" x14ac:dyDescent="0.25">
      <c r="A13">
        <v>0.08</v>
      </c>
      <c r="B13">
        <v>0.84762388431208968</v>
      </c>
      <c r="C13">
        <v>-2.9994559635955205</v>
      </c>
      <c r="E13" s="1">
        <f t="shared" si="2"/>
        <v>6</v>
      </c>
      <c r="F13" s="1">
        <f t="shared" ca="1" si="3"/>
        <v>-6.8943504866528302</v>
      </c>
      <c r="G13" s="1">
        <f t="shared" ca="1" si="4"/>
        <v>-3.2883859238809388</v>
      </c>
      <c r="H13" s="1">
        <f t="shared" ca="1" si="0"/>
        <v>-0.4429502780477772</v>
      </c>
      <c r="I13" s="1">
        <f t="shared" ca="1" si="5"/>
        <v>-74.981404436369033</v>
      </c>
      <c r="K13" s="1">
        <f t="shared" ca="1" si="1"/>
        <v>3.933614709130364E-3</v>
      </c>
      <c r="M13" s="10" t="s">
        <v>68</v>
      </c>
      <c r="N13" s="10">
        <v>60</v>
      </c>
    </row>
    <row r="14" spans="1:16" x14ac:dyDescent="0.25">
      <c r="A14">
        <v>0.1</v>
      </c>
      <c r="B14">
        <v>0.77441183244491063</v>
      </c>
      <c r="C14">
        <v>-3.6606025933589503</v>
      </c>
      <c r="E14" s="1">
        <f t="shared" si="2"/>
        <v>8</v>
      </c>
      <c r="F14" s="1">
        <f t="shared" ca="1" si="3"/>
        <v>-13.471122334414709</v>
      </c>
      <c r="G14" s="1">
        <f t="shared" ca="1" si="4"/>
        <v>-4.1742864799764927</v>
      </c>
      <c r="H14" s="1">
        <f t="shared" ca="1" si="0"/>
        <v>-0.36785955523748365</v>
      </c>
      <c r="I14" s="1">
        <f t="shared" ca="1" si="5"/>
        <v>-74.97502398837031</v>
      </c>
      <c r="K14" s="1">
        <f t="shared" ca="1" si="1"/>
        <v>6.3804479987276787E-3</v>
      </c>
      <c r="M14" s="10" t="s">
        <v>71</v>
      </c>
      <c r="N14" s="10">
        <v>25</v>
      </c>
      <c r="O14" t="s">
        <v>72</v>
      </c>
    </row>
    <row r="15" spans="1:16" x14ac:dyDescent="0.25">
      <c r="A15">
        <v>0.12000000000000001</v>
      </c>
      <c r="B15">
        <v>0.68911895599159101</v>
      </c>
      <c r="C15">
        <v>-4.2646438226659811</v>
      </c>
      <c r="E15" s="1">
        <f t="shared" si="2"/>
        <v>10</v>
      </c>
      <c r="F15" s="1">
        <f t="shared" ca="1" si="3"/>
        <v>-21.819695294367694</v>
      </c>
      <c r="G15" s="1">
        <f t="shared" ca="1" si="4"/>
        <v>-4.9100055904514601</v>
      </c>
      <c r="H15" s="1">
        <f t="shared" ca="1" si="0"/>
        <v>-0.28303043878471579</v>
      </c>
      <c r="I15" s="1">
        <f t="shared" ca="1" si="5"/>
        <v>-74.975924603190123</v>
      </c>
      <c r="K15" s="1">
        <f t="shared" ca="1" si="1"/>
        <v>-9.0061481981689839E-4</v>
      </c>
      <c r="M15" s="10" t="s">
        <v>58</v>
      </c>
      <c r="N15" s="10">
        <v>0.02</v>
      </c>
      <c r="O15" t="s">
        <v>73</v>
      </c>
    </row>
    <row r="16" spans="1:16" x14ac:dyDescent="0.25">
      <c r="A16">
        <v>0.14000000000000001</v>
      </c>
      <c r="B16">
        <v>0.59307582382480262</v>
      </c>
      <c r="C16">
        <v>-4.8021566083394225</v>
      </c>
      <c r="E16" s="1">
        <f t="shared" si="2"/>
        <v>12</v>
      </c>
      <c r="F16" s="1">
        <f t="shared" ca="1" si="3"/>
        <v>-31.639706475270614</v>
      </c>
      <c r="G16" s="1">
        <f t="shared" ca="1" si="4"/>
        <v>-5.4760664680208917</v>
      </c>
      <c r="H16" s="1">
        <f t="shared" ca="1" si="0"/>
        <v>-0.19127607352907497</v>
      </c>
      <c r="I16" s="1">
        <f t="shared" ca="1" si="5"/>
        <v>-74.977482740916116</v>
      </c>
      <c r="K16" s="1">
        <f t="shared" ca="1" si="1"/>
        <v>-1.5581377259883667E-3</v>
      </c>
    </row>
    <row r="17" spans="1:11" x14ac:dyDescent="0.25">
      <c r="A17">
        <v>0.16</v>
      </c>
      <c r="B17">
        <v>0.48778070880634727</v>
      </c>
      <c r="C17">
        <v>-5.2647557509227685</v>
      </c>
      <c r="E17" s="1">
        <f t="shared" si="2"/>
        <v>14</v>
      </c>
      <c r="F17" s="1">
        <f t="shared" ca="1" si="3"/>
        <v>-42.591839411312399</v>
      </c>
      <c r="G17" s="1">
        <f t="shared" ca="1" si="4"/>
        <v>-5.8586186150790418</v>
      </c>
      <c r="H17" s="1">
        <f t="shared" ca="1" si="0"/>
        <v>-9.5545784548951046E-2</v>
      </c>
      <c r="I17" s="1">
        <f t="shared" ca="1" si="5"/>
        <v>-74.970911646321298</v>
      </c>
      <c r="K17" s="1">
        <f t="shared" ca="1" si="1"/>
        <v>6.5710945948201397E-3</v>
      </c>
    </row>
    <row r="18" spans="1:11" x14ac:dyDescent="0.25">
      <c r="A18">
        <v>0.18</v>
      </c>
      <c r="B18">
        <v>0.37487621473051291</v>
      </c>
      <c r="C18">
        <v>-5.6452247037917189</v>
      </c>
      <c r="E18" s="1">
        <f t="shared" si="2"/>
        <v>16</v>
      </c>
      <c r="F18" s="1">
        <f t="shared" ca="1" si="3"/>
        <v>-54.309076641470483</v>
      </c>
      <c r="G18" s="1">
        <f t="shared" ca="1" si="4"/>
        <v>-6.0497101841769441</v>
      </c>
      <c r="H18" s="1">
        <f t="shared" ca="1" si="0"/>
        <v>9.3498982069603609E-4</v>
      </c>
      <c r="I18" s="1">
        <f t="shared" ca="1" si="5"/>
        <v>-74.975389861373827</v>
      </c>
      <c r="K18" s="1">
        <f t="shared" ca="1" si="1"/>
        <v>-4.4782150525315466E-3</v>
      </c>
    </row>
    <row r="19" spans="1:11" x14ac:dyDescent="0.25">
      <c r="A19">
        <v>0.19999999999999998</v>
      </c>
      <c r="B19">
        <v>0.25612365170488255</v>
      </c>
      <c r="C19">
        <v>-5.937628151281519</v>
      </c>
      <c r="E19" s="1">
        <f t="shared" si="2"/>
        <v>18</v>
      </c>
      <c r="F19" s="1">
        <f t="shared" ca="1" si="3"/>
        <v>-66.408497009824373</v>
      </c>
      <c r="G19" s="1">
        <f t="shared" ca="1" si="4"/>
        <v>-6.0478402045355519</v>
      </c>
      <c r="H19" s="1">
        <f t="shared" ca="1" si="0"/>
        <v>9.5195541560388772E-2</v>
      </c>
      <c r="I19" s="1">
        <f t="shared" ca="1" si="5"/>
        <v>-74.983699050999249</v>
      </c>
      <c r="K19" s="1">
        <f t="shared" ca="1" si="1"/>
        <v>-8.3091896254196395E-3</v>
      </c>
    </row>
    <row r="20" spans="1:11" x14ac:dyDescent="0.25">
      <c r="A20">
        <v>0.21999999999999997</v>
      </c>
      <c r="B20">
        <v>0.13337555971265599</v>
      </c>
      <c r="C20">
        <v>-6.1374045996113278</v>
      </c>
      <c r="E20" s="1">
        <f t="shared" si="2"/>
        <v>20</v>
      </c>
      <c r="F20" s="1">
        <f t="shared" ca="1" si="3"/>
        <v>-78.50417741889548</v>
      </c>
      <c r="G20" s="1">
        <f t="shared" ca="1" si="4"/>
        <v>-5.8574491214147741</v>
      </c>
      <c r="H20" s="1">
        <f t="shared" ca="1" si="0"/>
        <v>0.1843804324697271</v>
      </c>
      <c r="I20" s="1">
        <f t="shared" ca="1" si="5"/>
        <v>-74.991254852765849</v>
      </c>
      <c r="K20" s="1">
        <f t="shared" ca="1" si="1"/>
        <v>-7.5558017666050191E-3</v>
      </c>
    </row>
    <row r="21" spans="1:11" x14ac:dyDescent="0.25">
      <c r="A21">
        <v>0.23999999999999996</v>
      </c>
      <c r="B21">
        <v>8.5468089889119969E-3</v>
      </c>
      <c r="C21">
        <v>-6.2414375361871999</v>
      </c>
      <c r="E21" s="1">
        <f t="shared" si="2"/>
        <v>22</v>
      </c>
      <c r="F21" s="1">
        <f t="shared" ca="1" si="3"/>
        <v>-90.219075661725029</v>
      </c>
      <c r="G21" s="1">
        <f t="shared" ca="1" si="4"/>
        <v>-5.4886882564753199</v>
      </c>
      <c r="H21" s="1">
        <f t="shared" ca="1" si="0"/>
        <v>0.26579982091643461</v>
      </c>
      <c r="I21" s="1">
        <f t="shared" ca="1" si="5"/>
        <v>-75.00074545109733</v>
      </c>
      <c r="K21" s="1">
        <f t="shared" ca="1" si="1"/>
        <v>-9.4905983314760717E-3</v>
      </c>
    </row>
    <row r="22" spans="1:11" x14ac:dyDescent="0.25">
      <c r="A22">
        <v>0.25999999999999995</v>
      </c>
      <c r="B22">
        <v>-0.11641527195505903</v>
      </c>
      <c r="C22">
        <v>-6.2481040471985514</v>
      </c>
      <c r="E22" s="1">
        <f t="shared" si="2"/>
        <v>24</v>
      </c>
      <c r="F22" s="1">
        <f t="shared" ca="1" si="3"/>
        <v>-101.19645217467567</v>
      </c>
      <c r="G22" s="1">
        <f t="shared" ca="1" si="4"/>
        <v>6.5864259077703835</v>
      </c>
      <c r="H22" s="1">
        <f t="shared" ca="1" si="0"/>
        <v>2.7839656500589255E-2</v>
      </c>
      <c r="I22" s="1">
        <f t="shared" ca="1" si="5"/>
        <v>-74.996981555594189</v>
      </c>
      <c r="K22" s="1">
        <f t="shared" ca="1" si="1"/>
        <v>3.7638955031364853E-3</v>
      </c>
    </row>
    <row r="23" spans="1:11" x14ac:dyDescent="0.25">
      <c r="A23">
        <v>0.27999999999999997</v>
      </c>
      <c r="B23">
        <v>-0.23956127465653115</v>
      </c>
      <c r="C23">
        <v>-6.157300135073605</v>
      </c>
      <c r="E23" s="1">
        <f t="shared" si="2"/>
        <v>26</v>
      </c>
      <c r="F23" s="1">
        <f t="shared" ca="1" si="3"/>
        <v>-88.023600359134903</v>
      </c>
      <c r="G23" s="1">
        <f t="shared" ca="1" si="4"/>
        <v>6.6421052207715618</v>
      </c>
      <c r="H23" s="1">
        <f t="shared" ca="1" si="0"/>
        <v>-7.6349949170927786E-2</v>
      </c>
      <c r="I23" s="1">
        <f t="shared" ca="1" si="5"/>
        <v>-74.990463084038737</v>
      </c>
      <c r="K23" s="1">
        <f t="shared" ca="1" si="1"/>
        <v>6.518471555446854E-3</v>
      </c>
    </row>
    <row r="24" spans="1:11" x14ac:dyDescent="0.25">
      <c r="A24">
        <v>0.3</v>
      </c>
      <c r="B24">
        <v>-0.35897012147336138</v>
      </c>
      <c r="C24">
        <v>-5.9704423408415108</v>
      </c>
      <c r="E24" s="1">
        <f t="shared" si="2"/>
        <v>28</v>
      </c>
      <c r="F24" s="1">
        <f t="shared" ca="1" si="3"/>
        <v>-74.73938991759178</v>
      </c>
      <c r="G24" s="1">
        <f t="shared" ca="1" si="4"/>
        <v>6.4894053224297066</v>
      </c>
      <c r="H24" s="1">
        <f t="shared" ca="1" si="0"/>
        <v>-0.17591322613714741</v>
      </c>
      <c r="I24" s="1">
        <f t="shared" ca="1" si="5"/>
        <v>-74.995436519647072</v>
      </c>
      <c r="K24" s="1">
        <f t="shared" ca="1" si="1"/>
        <v>-4.9734356083340203E-3</v>
      </c>
    </row>
    <row r="25" spans="1:11" x14ac:dyDescent="0.25">
      <c r="A25">
        <v>0.32</v>
      </c>
      <c r="B25">
        <v>-0.47277903439520719</v>
      </c>
      <c r="C25">
        <v>-5.6904456460922894</v>
      </c>
      <c r="E25" s="1">
        <f t="shared" si="2"/>
        <v>30</v>
      </c>
      <c r="F25" s="1">
        <f t="shared" ca="1" si="3"/>
        <v>-61.760579272732365</v>
      </c>
      <c r="G25" s="1">
        <f t="shared" ca="1" si="4"/>
        <v>6.1375788701554121</v>
      </c>
      <c r="H25" s="1">
        <f t="shared" ca="1" si="0"/>
        <v>-0.26775053029849033</v>
      </c>
      <c r="I25" s="1">
        <f t="shared" ca="1" si="5"/>
        <v>-74.99947883405612</v>
      </c>
      <c r="K25" s="1">
        <f t="shared" ca="1" si="1"/>
        <v>-4.0423144090474027E-3</v>
      </c>
    </row>
    <row r="26" spans="1:11" x14ac:dyDescent="0.25">
      <c r="A26">
        <v>0.34</v>
      </c>
      <c r="B26">
        <v>-0.57921259438048778</v>
      </c>
      <c r="C26">
        <v>-5.3216779992640282</v>
      </c>
      <c r="E26" s="1">
        <f t="shared" si="2"/>
        <v>32</v>
      </c>
      <c r="F26" s="1">
        <f t="shared" ca="1" si="3"/>
        <v>-49.48542153242154</v>
      </c>
      <c r="G26" s="1">
        <f t="shared" ca="1" si="4"/>
        <v>5.6020778095584314</v>
      </c>
      <c r="H26" s="1">
        <f t="shared" ca="1" si="0"/>
        <v>-0.34916881393101751</v>
      </c>
      <c r="I26" s="1">
        <f t="shared" ca="1" si="5"/>
        <v>-75.002489306120452</v>
      </c>
      <c r="K26" s="1">
        <f t="shared" ca="1" si="1"/>
        <v>-3.0104720643273075E-3</v>
      </c>
    </row>
    <row r="27" spans="1:11" x14ac:dyDescent="0.25">
      <c r="A27">
        <v>0.36000000000000004</v>
      </c>
      <c r="B27">
        <v>-0.67661043789343278</v>
      </c>
      <c r="C27">
        <v>-4.869892175647248</v>
      </c>
      <c r="E27" s="1">
        <f t="shared" si="2"/>
        <v>34</v>
      </c>
      <c r="F27" s="1">
        <f t="shared" ref="F27:F42" ca="1" si="6">F26+G26*dt</f>
        <v>-38.281265913304679</v>
      </c>
      <c r="G27" s="1">
        <f t="shared" ca="1" si="4"/>
        <v>4.9037401816963966</v>
      </c>
      <c r="H27" s="1">
        <f t="shared" ca="1" si="0"/>
        <v>-0.41777833549740462</v>
      </c>
      <c r="I27" s="1">
        <f t="shared" ca="1" si="5"/>
        <v>-74.993842660476631</v>
      </c>
      <c r="K27" s="1">
        <f t="shared" ca="1" si="1"/>
        <v>8.6466456438268544E-3</v>
      </c>
    </row>
    <row r="28" spans="1:11" x14ac:dyDescent="0.25">
      <c r="A28">
        <v>0.38000000000000006</v>
      </c>
      <c r="B28">
        <v>-0.76345315857524021</v>
      </c>
      <c r="C28">
        <v>-4.3421360340903705</v>
      </c>
      <c r="E28" s="1">
        <f t="shared" si="2"/>
        <v>36</v>
      </c>
      <c r="F28" s="1">
        <f t="shared" ca="1" si="6"/>
        <v>-28.473785549911888</v>
      </c>
      <c r="G28" s="1">
        <f t="shared" ca="1" si="4"/>
        <v>4.0681835107015871</v>
      </c>
      <c r="H28" s="1">
        <f t="shared" ca="1" si="0"/>
        <v>-0.47186942172113316</v>
      </c>
      <c r="I28" s="1">
        <f t="shared" ca="1" si="5"/>
        <v>-74.992003964569662</v>
      </c>
      <c r="K28" s="1">
        <f t="shared" ca="1" si="1"/>
        <v>1.8386959069705666E-3</v>
      </c>
    </row>
    <row r="29" spans="1:11" x14ac:dyDescent="0.25">
      <c r="A29">
        <v>0.40000000000000008</v>
      </c>
      <c r="B29">
        <v>-0.83838600998327384</v>
      </c>
      <c r="C29">
        <v>-3.7466425704016832</v>
      </c>
      <c r="E29" s="1">
        <f t="shared" si="2"/>
        <v>38</v>
      </c>
      <c r="F29" s="1">
        <f t="shared" ca="1" si="6"/>
        <v>-20.337418528508714</v>
      </c>
      <c r="G29" s="1">
        <f t="shared" ca="1" si="4"/>
        <v>3.1244446672593207</v>
      </c>
      <c r="H29" s="1">
        <f t="shared" ca="1" si="0"/>
        <v>-0.51005325194301476</v>
      </c>
      <c r="I29" s="1">
        <f t="shared" ca="1" si="5"/>
        <v>-74.993589664465759</v>
      </c>
      <c r="K29" s="1">
        <f t="shared" ca="1" si="1"/>
        <v>-1.5856998960910907E-3</v>
      </c>
    </row>
    <row r="30" spans="1:11" x14ac:dyDescent="0.25">
      <c r="A30">
        <v>0.4200000000000001</v>
      </c>
      <c r="B30">
        <v>-0.90024003963556842</v>
      </c>
      <c r="C30">
        <v>-3.0927014826147294</v>
      </c>
      <c r="E30" s="1">
        <f t="shared" si="2"/>
        <v>40</v>
      </c>
      <c r="F30" s="1">
        <f t="shared" ca="1" si="6"/>
        <v>-14.088529193990073</v>
      </c>
      <c r="G30" s="1">
        <f t="shared" ca="1" si="4"/>
        <v>2.1043381633732912</v>
      </c>
      <c r="H30" s="1">
        <f t="shared" ca="1" si="0"/>
        <v>-0.53145182458645102</v>
      </c>
      <c r="I30" s="1">
        <f t="shared" ca="1" si="5"/>
        <v>-74.993088400149929</v>
      </c>
      <c r="K30" s="1">
        <f t="shared" ca="1" si="1"/>
        <v>5.0126431583224162E-4</v>
      </c>
    </row>
    <row r="31" spans="1:11" x14ac:dyDescent="0.25">
      <c r="A31">
        <v>0.44000000000000011</v>
      </c>
      <c r="B31">
        <v>-0.94805032466954819</v>
      </c>
      <c r="C31">
        <v>-2.3905142516989861</v>
      </c>
      <c r="E31" s="1">
        <f t="shared" si="2"/>
        <v>42</v>
      </c>
      <c r="F31" s="1">
        <f t="shared" ca="1" si="6"/>
        <v>-9.8798528672434909</v>
      </c>
      <c r="G31" s="1">
        <f t="shared" ca="1" si="4"/>
        <v>1.0414345142003891</v>
      </c>
      <c r="H31" s="1">
        <f t="shared" ca="1" si="0"/>
        <v>-0.53577203609097257</v>
      </c>
      <c r="I31" s="1">
        <f t="shared" ca="1" si="5"/>
        <v>-74.990313266013004</v>
      </c>
      <c r="K31" s="1">
        <f t="shared" ca="1" si="1"/>
        <v>2.775134136930979E-3</v>
      </c>
    </row>
    <row r="32" spans="1:11" x14ac:dyDescent="0.25">
      <c r="A32">
        <v>0.46000000000000013</v>
      </c>
      <c r="B32">
        <v>-0.98107102463868301</v>
      </c>
      <c r="C32">
        <v>-1.6510349984567385</v>
      </c>
      <c r="E32" s="1">
        <f t="shared" si="2"/>
        <v>44</v>
      </c>
      <c r="F32" s="1">
        <f t="shared" ca="1" si="6"/>
        <v>-7.7969838388427126</v>
      </c>
      <c r="G32" s="1">
        <f t="shared" ca="1" si="4"/>
        <v>-3.0109557981556012E-2</v>
      </c>
      <c r="H32" s="1">
        <f t="shared" ca="1" si="0"/>
        <v>-0.52336423318548397</v>
      </c>
      <c r="I32" s="1">
        <f t="shared" ca="1" si="5"/>
        <v>-74.998415805431137</v>
      </c>
      <c r="K32" s="1">
        <f t="shared" ca="1" si="1"/>
        <v>-8.1025394181313357E-3</v>
      </c>
    </row>
    <row r="33" spans="1:11" x14ac:dyDescent="0.25">
      <c r="A33">
        <v>0.48000000000000015</v>
      </c>
      <c r="B33">
        <v>-0.99878701662345437</v>
      </c>
      <c r="C33">
        <v>-0.88579959923856577</v>
      </c>
      <c r="E33" s="1">
        <f t="shared" si="2"/>
        <v>46</v>
      </c>
      <c r="F33" s="1">
        <f t="shared" ca="1" si="6"/>
        <v>-7.8572029548058246</v>
      </c>
      <c r="G33" s="1">
        <f t="shared" ca="1" si="4"/>
        <v>-1.076838024352524</v>
      </c>
      <c r="H33" s="1">
        <f t="shared" ca="1" si="0"/>
        <v>-0.49478504512114296</v>
      </c>
      <c r="I33" s="1">
        <f t="shared" ca="1" si="5"/>
        <v>-74.991088105291809</v>
      </c>
      <c r="K33" s="1">
        <f t="shared" ca="1" si="1"/>
        <v>7.3277001393333109E-3</v>
      </c>
    </row>
    <row r="34" spans="1:11" x14ac:dyDescent="0.25">
      <c r="A34">
        <v>0.50000000000000011</v>
      </c>
      <c r="B34">
        <v>-1.0009219311488997</v>
      </c>
      <c r="C34">
        <v>-0.1067457262722713</v>
      </c>
      <c r="E34" s="1">
        <f t="shared" si="2"/>
        <v>48</v>
      </c>
      <c r="F34" s="1">
        <f t="shared" ca="1" si="6"/>
        <v>-10.010879003510873</v>
      </c>
      <c r="G34" s="1">
        <f t="shared" ca="1" si="4"/>
        <v>-2.0664081145948101</v>
      </c>
      <c r="H34" s="1">
        <f t="shared" ca="1" si="0"/>
        <v>-0.45139252903338178</v>
      </c>
      <c r="I34" s="1">
        <f t="shared" ca="1" si="5"/>
        <v>-74.981682401526598</v>
      </c>
      <c r="K34" s="1">
        <f t="shared" ca="1" si="1"/>
        <v>9.4057037652153074E-3</v>
      </c>
    </row>
    <row r="35" spans="1:11" x14ac:dyDescent="0.25">
      <c r="A35">
        <v>0.52000000000000013</v>
      </c>
      <c r="B35">
        <v>-0.98744246354842236</v>
      </c>
      <c r="C35">
        <v>0.67397338002387053</v>
      </c>
      <c r="E35" s="1">
        <f t="shared" si="2"/>
        <v>50</v>
      </c>
      <c r="F35" s="1">
        <f t="shared" ca="1" si="6"/>
        <v>-14.143695232700493</v>
      </c>
      <c r="G35" s="1">
        <f t="shared" ca="1" si="4"/>
        <v>-2.9691931726615737</v>
      </c>
      <c r="H35" s="1">
        <f t="shared" ca="1" si="0"/>
        <v>-0.39491500304153615</v>
      </c>
      <c r="I35" s="1">
        <f t="shared" ca="1" si="5"/>
        <v>-74.975667036401305</v>
      </c>
      <c r="J35" t="s">
        <v>2</v>
      </c>
      <c r="K35" s="1">
        <f t="shared" ca="1" si="1"/>
        <v>6.0153651252977296E-3</v>
      </c>
    </row>
    <row r="36" spans="1:11" x14ac:dyDescent="0.25">
      <c r="A36">
        <v>0.54000000000000015</v>
      </c>
      <c r="B36">
        <v>-0.95855889351658952</v>
      </c>
      <c r="C36">
        <v>1.44417850159164</v>
      </c>
      <c r="E36" s="1">
        <f t="shared" si="2"/>
        <v>52</v>
      </c>
      <c r="F36" s="1">
        <f t="shared" ca="1" si="6"/>
        <v>-20.08208157802364</v>
      </c>
      <c r="G36" s="1">
        <f t="shared" ca="1" si="4"/>
        <v>-3.7590231787446458</v>
      </c>
      <c r="H36" s="1">
        <f t="shared" ca="1" si="0"/>
        <v>-0.32750203774030745</v>
      </c>
      <c r="I36" s="1">
        <f t="shared" ca="1" si="5"/>
        <v>-74.985140415288257</v>
      </c>
      <c r="K36" s="1">
        <f t="shared" ca="1" si="1"/>
        <v>-9.4733788869543999E-3</v>
      </c>
    </row>
    <row r="37" spans="1:11" x14ac:dyDescent="0.25">
      <c r="A37">
        <v>0.56000000000000016</v>
      </c>
      <c r="B37">
        <v>-0.91472180474589793</v>
      </c>
      <c r="C37">
        <v>2.1918544385345795</v>
      </c>
      <c r="E37" s="1">
        <f t="shared" si="2"/>
        <v>54</v>
      </c>
      <c r="F37" s="1">
        <f t="shared" ca="1" si="6"/>
        <v>-27.60012793551293</v>
      </c>
      <c r="G37" s="1">
        <f t="shared" ca="1" si="4"/>
        <v>-4.4140272542252603</v>
      </c>
      <c r="H37" s="1">
        <f t="shared" ca="1" si="0"/>
        <v>-0.25124583200906198</v>
      </c>
      <c r="I37" s="1">
        <f t="shared" ca="1" si="5"/>
        <v>-74.977276964012802</v>
      </c>
      <c r="K37" s="1">
        <f t="shared" ca="1" si="1"/>
        <v>7.8634512754509438E-3</v>
      </c>
    </row>
    <row r="38" spans="1:11" x14ac:dyDescent="0.25">
      <c r="A38">
        <v>0.58000000000000018</v>
      </c>
      <c r="B38">
        <v>-0.85661505582117037</v>
      </c>
      <c r="C38">
        <v>2.9053374462363797</v>
      </c>
      <c r="E38" s="1">
        <f t="shared" si="2"/>
        <v>56</v>
      </c>
      <c r="F38" s="1">
        <f t="shared" ca="1" si="6"/>
        <v>-36.428182443963451</v>
      </c>
      <c r="G38" s="1">
        <f t="shared" ca="1" si="4"/>
        <v>-4.9165189182433844</v>
      </c>
      <c r="H38" s="1">
        <f t="shared" ca="1" si="0"/>
        <v>-0.16895005385337172</v>
      </c>
      <c r="I38" s="1">
        <f t="shared" ca="1" si="5"/>
        <v>-74.981100503231971</v>
      </c>
      <c r="K38" s="1">
        <f t="shared" ca="1" si="1"/>
        <v>-3.8235392191708485E-3</v>
      </c>
    </row>
    <row r="39" spans="1:11" x14ac:dyDescent="0.25">
      <c r="A39">
        <v>0.6000000000000002</v>
      </c>
      <c r="B39">
        <v>-0.78514511202563253</v>
      </c>
      <c r="C39">
        <v>3.5734971897768926</v>
      </c>
      <c r="E39" s="1">
        <f t="shared" si="2"/>
        <v>58</v>
      </c>
      <c r="F39" s="1">
        <f t="shared" ca="1" si="6"/>
        <v>-46.261220280450218</v>
      </c>
      <c r="G39" s="1">
        <f t="shared" ca="1" si="4"/>
        <v>-5.2544190259501278</v>
      </c>
      <c r="H39" s="1">
        <f t="shared" ca="1" si="0"/>
        <v>-8.3145647949544543E-2</v>
      </c>
      <c r="I39" s="1">
        <f t="shared" ca="1" si="5"/>
        <v>-74.974563593912777</v>
      </c>
      <c r="K39" s="1">
        <f t="shared" ca="1" si="1"/>
        <v>6.5369093191971241E-3</v>
      </c>
    </row>
    <row r="40" spans="1:11" x14ac:dyDescent="0.25">
      <c r="A40">
        <v>0.62000000000000022</v>
      </c>
      <c r="B40">
        <v>-0.70142690448249478</v>
      </c>
      <c r="C40">
        <v>4.185910377156886</v>
      </c>
      <c r="E40" s="1">
        <f t="shared" si="2"/>
        <v>60</v>
      </c>
      <c r="F40" s="1">
        <f t="shared" ca="1" si="6"/>
        <v>-56.770058332350473</v>
      </c>
      <c r="G40" s="1">
        <f t="shared" ca="1" si="4"/>
        <v>-5.4207103218492172</v>
      </c>
      <c r="H40" s="1">
        <f t="shared" ca="1" si="0"/>
        <v>3.2251517225081738E-3</v>
      </c>
      <c r="I40" s="1">
        <f t="shared" ca="1" si="5"/>
        <v>-74.981582037869813</v>
      </c>
      <c r="K40" s="1">
        <f t="shared" ca="1" si="1"/>
        <v>-7.0184439570434055E-3</v>
      </c>
    </row>
    <row r="41" spans="1:11" x14ac:dyDescent="0.25">
      <c r="A41">
        <v>0.64000000000000024</v>
      </c>
      <c r="B41">
        <v>-0.60676643722943013</v>
      </c>
      <c r="C41">
        <v>4.7330233626532321</v>
      </c>
      <c r="E41" s="1">
        <f t="shared" si="2"/>
        <v>62</v>
      </c>
      <c r="F41" s="1">
        <f t="shared" ca="1" si="6"/>
        <v>-67.611478976048915</v>
      </c>
      <c r="G41" s="1">
        <f t="shared" ca="1" si="4"/>
        <v>-5.4142600184042005</v>
      </c>
      <c r="H41" s="1">
        <f t="shared" ca="1" si="0"/>
        <v>8.7634982258664923E-2</v>
      </c>
      <c r="I41" s="1">
        <f t="shared" ca="1" si="5"/>
        <v>-74.979066954839638</v>
      </c>
      <c r="K41" s="1">
        <f t="shared" ca="1" si="1"/>
        <v>2.5150830301705817E-3</v>
      </c>
    </row>
    <row r="42" spans="1:11" x14ac:dyDescent="0.25">
      <c r="A42">
        <v>0.66000000000000025</v>
      </c>
      <c r="B42">
        <v>-0.50264041355558642</v>
      </c>
      <c r="C42">
        <v>5.2063011836921875</v>
      </c>
      <c r="E42" s="1">
        <f t="shared" si="2"/>
        <v>64</v>
      </c>
      <c r="F42" s="1">
        <f t="shared" ca="1" si="6"/>
        <v>-78.439999012857314</v>
      </c>
      <c r="G42" s="1">
        <f t="shared" ca="1" si="4"/>
        <v>-5.2389900538868703</v>
      </c>
      <c r="H42" s="1">
        <f t="shared" ca="1" si="0"/>
        <v>0.16739612858033751</v>
      </c>
      <c r="I42" s="1">
        <f t="shared" ca="1" si="5"/>
        <v>-74.979589380015085</v>
      </c>
      <c r="K42" s="1">
        <f t="shared" ca="1" si="1"/>
        <v>-5.2242517544124343E-4</v>
      </c>
    </row>
    <row r="43" spans="1:11" x14ac:dyDescent="0.25">
      <c r="A43">
        <v>0.68000000000000027</v>
      </c>
      <c r="B43">
        <v>-0.39067319943027551</v>
      </c>
      <c r="C43">
        <v>5.5983607062655452</v>
      </c>
      <c r="E43" s="1">
        <f t="shared" si="2"/>
        <v>66</v>
      </c>
      <c r="F43" s="1">
        <f t="shared" ref="F43:F58" ca="1" si="7">F42+G42*dt</f>
        <v>-88.91797912063106</v>
      </c>
      <c r="G43" s="1">
        <f t="shared" ca="1" si="4"/>
        <v>-4.9041977967261952</v>
      </c>
      <c r="H43" s="1">
        <f t="shared" ca="1" si="0"/>
        <v>0.24021704979275382</v>
      </c>
      <c r="I43" s="1">
        <f t="shared" ca="1" si="5"/>
        <v>-74.971242089798778</v>
      </c>
      <c r="K43" s="1">
        <f t="shared" ca="1" si="1"/>
        <v>8.3472902162995983E-3</v>
      </c>
    </row>
    <row r="44" spans="1:11" x14ac:dyDescent="0.25">
      <c r="A44">
        <v>0.70000000000000029</v>
      </c>
      <c r="B44">
        <v>-0.27261148339385233</v>
      </c>
      <c r="C44">
        <v>5.9030858018211596</v>
      </c>
      <c r="E44" s="1">
        <f t="shared" si="2"/>
        <v>68</v>
      </c>
      <c r="F44" s="1">
        <f t="shared" ca="1" si="7"/>
        <v>-98.726374714083448</v>
      </c>
      <c r="G44" s="1">
        <f t="shared" ca="1" si="4"/>
        <v>-4.4237636971406875</v>
      </c>
      <c r="H44" s="1">
        <f t="shared" ca="1" si="0"/>
        <v>0.30381665021575388</v>
      </c>
      <c r="I44" s="1">
        <f t="shared" ca="1" si="5"/>
        <v>-74.975120466341977</v>
      </c>
      <c r="K44" s="1">
        <f t="shared" ca="1" si="1"/>
        <v>-3.8783765432001973E-3</v>
      </c>
    </row>
    <row r="45" spans="1:11" x14ac:dyDescent="0.25">
      <c r="A45">
        <v>0.72000000000000031</v>
      </c>
      <c r="B45">
        <v>-0.15029702821648505</v>
      </c>
      <c r="C45">
        <v>6.1157227588683645</v>
      </c>
      <c r="E45" s="1">
        <f t="shared" si="2"/>
        <v>70</v>
      </c>
      <c r="F45" s="1">
        <f t="shared" ca="1" si="7"/>
        <v>-107.57390210836482</v>
      </c>
      <c r="G45" s="1">
        <f t="shared" ca="1" si="4"/>
        <v>5.3085164365688247</v>
      </c>
      <c r="H45" s="1">
        <f t="shared" ca="1" si="0"/>
        <v>0.11206441803604145</v>
      </c>
      <c r="I45" s="1">
        <f t="shared" ca="1" si="5"/>
        <v>-74.967151013994823</v>
      </c>
      <c r="K45" s="1">
        <f t="shared" ca="1" si="1"/>
        <v>7.9694523471505654E-3</v>
      </c>
    </row>
    <row r="46" spans="1:11" x14ac:dyDescent="0.25">
      <c r="A46">
        <v>0.74000000000000032</v>
      </c>
      <c r="B46">
        <v>-2.5637939398940587E-2</v>
      </c>
      <c r="C46">
        <v>6.2329544408772231</v>
      </c>
      <c r="E46" s="1">
        <f t="shared" si="2"/>
        <v>72</v>
      </c>
      <c r="F46" s="1">
        <f t="shared" ca="1" si="7"/>
        <v>-96.956869235227174</v>
      </c>
      <c r="G46" s="1">
        <f t="shared" ca="1" si="4"/>
        <v>5.5326452726409077</v>
      </c>
      <c r="H46" s="1">
        <f t="shared" ca="1" si="0"/>
        <v>2.3277846409437253E-2</v>
      </c>
      <c r="I46" s="1">
        <f t="shared" ca="1" si="5"/>
        <v>-74.962928245969024</v>
      </c>
      <c r="K46" s="1">
        <f t="shared" ca="1" si="1"/>
        <v>4.222768025795136E-3</v>
      </c>
    </row>
    <row r="47" spans="1:11" x14ac:dyDescent="0.25">
      <c r="A47">
        <v>0.76000000000000034</v>
      </c>
      <c r="B47">
        <v>9.9421101273227355E-2</v>
      </c>
      <c r="C47">
        <v>6.2529520336083966</v>
      </c>
      <c r="E47" s="1">
        <f t="shared" si="2"/>
        <v>74</v>
      </c>
      <c r="F47" s="1">
        <f t="shared" ca="1" si="7"/>
        <v>-85.891578689945362</v>
      </c>
      <c r="G47" s="1">
        <f t="shared" ca="1" si="4"/>
        <v>5.5792009654597825</v>
      </c>
      <c r="H47" s="1">
        <f t="shared" ca="1" si="0"/>
        <v>-6.421034649784306E-2</v>
      </c>
      <c r="I47" s="1">
        <f t="shared" ca="1" si="5"/>
        <v>-74.95411210321727</v>
      </c>
      <c r="K47" s="1">
        <f t="shared" ca="1" si="1"/>
        <v>8.8161427517548328E-3</v>
      </c>
    </row>
    <row r="48" spans="1:11" x14ac:dyDescent="0.25">
      <c r="A48">
        <v>0.78000000000000036</v>
      </c>
      <c r="B48">
        <v>0.22292917276553292</v>
      </c>
      <c r="C48">
        <v>6.1754035746152791</v>
      </c>
      <c r="E48" s="1">
        <f t="shared" si="2"/>
        <v>76</v>
      </c>
      <c r="F48" s="1">
        <f t="shared" ca="1" si="7"/>
        <v>-74.733176759025795</v>
      </c>
      <c r="G48" s="1">
        <f t="shared" ca="1" si="4"/>
        <v>5.4507802724640966</v>
      </c>
      <c r="H48" s="1">
        <f t="shared" ca="1" si="0"/>
        <v>-0.14784126501767236</v>
      </c>
      <c r="I48" s="1">
        <f t="shared" ca="1" si="5"/>
        <v>-74.958863132825101</v>
      </c>
      <c r="K48" s="1">
        <f t="shared" ca="1" si="1"/>
        <v>-4.7510296078298528E-3</v>
      </c>
    </row>
    <row r="49" spans="1:11" x14ac:dyDescent="0.25">
      <c r="A49">
        <v>0.80000000000000038</v>
      </c>
      <c r="B49">
        <v>0.34295954916269622</v>
      </c>
      <c r="C49">
        <v>6.0015188198581635</v>
      </c>
      <c r="E49" s="1">
        <f t="shared" si="2"/>
        <v>78</v>
      </c>
      <c r="F49" s="1">
        <f t="shared" ca="1" si="7"/>
        <v>-63.8316162140976</v>
      </c>
      <c r="G49" s="1">
        <f t="shared" ca="1" si="4"/>
        <v>5.1550977424287519</v>
      </c>
      <c r="H49" s="1">
        <f t="shared" ca="1" si="0"/>
        <v>-0.22496550078392941</v>
      </c>
      <c r="I49" s="1">
        <f t="shared" ca="1" si="5"/>
        <v>-74.960959968820532</v>
      </c>
      <c r="K49" s="1">
        <f t="shared" ca="1" si="1"/>
        <v>-2.0968359954269267E-3</v>
      </c>
    </row>
    <row r="50" spans="1:11" x14ac:dyDescent="0.25">
      <c r="A50">
        <v>0.8200000000000004</v>
      </c>
      <c r="B50">
        <v>0.45763975659292144</v>
      </c>
      <c r="C50">
        <v>5.7340103715112605</v>
      </c>
      <c r="E50" s="1">
        <f t="shared" si="2"/>
        <v>80</v>
      </c>
      <c r="F50" s="1">
        <f t="shared" ca="1" si="7"/>
        <v>-53.521420729240099</v>
      </c>
      <c r="G50" s="1">
        <f t="shared" ca="1" si="4"/>
        <v>4.7051667408608928</v>
      </c>
      <c r="H50" s="1">
        <f t="shared" ca="1" si="0"/>
        <v>-0.29332388964267775</v>
      </c>
      <c r="I50" s="1">
        <f t="shared" ca="1" si="5"/>
        <v>-74.960577266112637</v>
      </c>
      <c r="K50" s="1">
        <f t="shared" ca="1" si="1"/>
        <v>3.8270270789746873E-4</v>
      </c>
    </row>
    <row r="51" spans="1:11" x14ac:dyDescent="0.25">
      <c r="A51">
        <v>0.84000000000000041</v>
      </c>
      <c r="B51">
        <v>0.56518078382029713</v>
      </c>
      <c r="C51">
        <v>5.3770513613687818</v>
      </c>
      <c r="E51" s="1">
        <f t="shared" si="2"/>
        <v>82</v>
      </c>
      <c r="F51" s="1">
        <f t="shared" ca="1" si="7"/>
        <v>-44.111087247518313</v>
      </c>
      <c r="G51" s="1">
        <f t="shared" ca="1" si="4"/>
        <v>4.1185189615755373</v>
      </c>
      <c r="H51" s="1">
        <f t="shared" ca="1" si="0"/>
        <v>-0.3510307185170804</v>
      </c>
      <c r="I51" s="1">
        <f t="shared" ca="1" si="5"/>
        <v>-74.96421677916652</v>
      </c>
      <c r="K51" s="1">
        <f t="shared" ca="1" si="1"/>
        <v>-3.6395130538773926E-3</v>
      </c>
    </row>
    <row r="52" spans="1:11" x14ac:dyDescent="0.25">
      <c r="A52">
        <v>0.86000000000000043</v>
      </c>
      <c r="B52">
        <v>0.66390499082007615</v>
      </c>
      <c r="C52">
        <v>4.9362103499889498</v>
      </c>
      <c r="E52" s="1">
        <f t="shared" si="2"/>
        <v>84</v>
      </c>
      <c r="F52" s="1">
        <f t="shared" ca="1" si="7"/>
        <v>-35.874049324367235</v>
      </c>
      <c r="G52" s="1">
        <f t="shared" ca="1" si="4"/>
        <v>3.4164575245413764</v>
      </c>
      <c r="H52" s="1">
        <f t="shared" ca="1" si="0"/>
        <v>-0.39642901042996975</v>
      </c>
      <c r="I52" s="1">
        <f t="shared" ca="1" si="5"/>
        <v>-74.959683782349401</v>
      </c>
      <c r="K52" s="1">
        <f t="shared" ca="1" si="1"/>
        <v>4.5329968171210402E-3</v>
      </c>
    </row>
    <row r="53" spans="1:11" x14ac:dyDescent="0.25">
      <c r="A53">
        <v>0.88000000000000045</v>
      </c>
      <c r="B53">
        <v>0.7522722799630619</v>
      </c>
      <c r="C53">
        <v>4.4183644571492904</v>
      </c>
      <c r="E53" s="1">
        <f t="shared" si="2"/>
        <v>86</v>
      </c>
      <c r="F53" s="1">
        <f t="shared" ca="1" si="7"/>
        <v>-29.041134275284481</v>
      </c>
      <c r="G53" s="1">
        <f t="shared" ca="1" si="4"/>
        <v>2.623599503681437</v>
      </c>
      <c r="H53" s="1">
        <f t="shared" ca="1" si="0"/>
        <v>-0.42847376711244151</v>
      </c>
      <c r="I53" s="1">
        <f t="shared" ca="1" si="5"/>
        <v>-74.959249712948449</v>
      </c>
      <c r="K53" s="1">
        <f t="shared" ca="1" si="1"/>
        <v>4.3406940095872096E-4</v>
      </c>
    </row>
    <row r="54" spans="1:11" x14ac:dyDescent="0.25">
      <c r="A54">
        <v>0.90000000000000047</v>
      </c>
      <c r="B54">
        <v>0.82890412153862392</v>
      </c>
      <c r="C54">
        <v>3.8315920787781019</v>
      </c>
      <c r="E54" s="1">
        <f t="shared" si="2"/>
        <v>88</v>
      </c>
      <c r="F54" s="1">
        <f t="shared" ca="1" si="7"/>
        <v>-23.793935267921608</v>
      </c>
      <c r="G54" s="1">
        <f t="shared" ca="1" si="4"/>
        <v>1.7666519694565541</v>
      </c>
      <c r="H54" s="1">
        <f t="shared" ca="1" si="0"/>
        <v>-0.44638524340057939</v>
      </c>
      <c r="I54" s="1">
        <f t="shared" ca="1" si="5"/>
        <v>-74.952777654991323</v>
      </c>
      <c r="K54" s="1">
        <f t="shared" ca="1" si="1"/>
        <v>6.4720579571283608E-3</v>
      </c>
    </row>
    <row r="55" spans="1:11" x14ac:dyDescent="0.25">
      <c r="A55">
        <v>0.92000000000000048</v>
      </c>
      <c r="B55">
        <v>0.89260505881818342</v>
      </c>
      <c r="C55">
        <v>3.1850468639779752</v>
      </c>
      <c r="E55" s="1">
        <f t="shared" si="2"/>
        <v>90</v>
      </c>
      <c r="F55" s="1">
        <f t="shared" ca="1" si="7"/>
        <v>-20.260631329008501</v>
      </c>
      <c r="G55" s="1">
        <f t="shared" ca="1" si="4"/>
        <v>0.87388148265539534</v>
      </c>
      <c r="H55" s="1">
        <f t="shared" ca="1" si="0"/>
        <v>-0.45003837313753869</v>
      </c>
      <c r="I55" s="1">
        <f t="shared" ca="1" si="5"/>
        <v>-74.955291508800059</v>
      </c>
      <c r="K55" s="1">
        <f t="shared" ca="1" si="1"/>
        <v>-2.513853808740747E-3</v>
      </c>
    </row>
    <row r="56" spans="1:11" x14ac:dyDescent="0.25">
      <c r="A56">
        <v>0.9400000000000005</v>
      </c>
      <c r="B56">
        <v>0.94238135718017924</v>
      </c>
      <c r="C56">
        <v>2.4888149180997923</v>
      </c>
      <c r="E56" s="1">
        <f t="shared" si="2"/>
        <v>92</v>
      </c>
      <c r="F56" s="1">
        <f t="shared" ca="1" si="7"/>
        <v>-18.512868363697709</v>
      </c>
      <c r="G56" s="1">
        <f t="shared" ca="1" si="4"/>
        <v>-2.6195263619682052E-2</v>
      </c>
      <c r="H56" s="1">
        <f t="shared" ca="1" si="0"/>
        <v>-0.43956014070359822</v>
      </c>
      <c r="I56" s="1">
        <f t="shared" ca="1" si="5"/>
        <v>-74.956736795570237</v>
      </c>
      <c r="K56" s="1">
        <f t="shared" ca="1" si="1"/>
        <v>-1.4452867701766148E-3</v>
      </c>
    </row>
    <row r="57" spans="1:11" x14ac:dyDescent="0.25">
      <c r="A57">
        <v>0.96000000000000052</v>
      </c>
      <c r="B57">
        <v>0.97745650637016424</v>
      </c>
      <c r="C57">
        <v>1.7537574594992524</v>
      </c>
      <c r="E57" s="1">
        <f t="shared" si="2"/>
        <v>94</v>
      </c>
      <c r="F57" s="1">
        <f t="shared" ca="1" si="7"/>
        <v>-18.565258890937073</v>
      </c>
      <c r="G57" s="1">
        <f t="shared" ca="1" si="4"/>
        <v>-0.9053155450268785</v>
      </c>
      <c r="H57" s="1">
        <f t="shared" ca="1" si="0"/>
        <v>-0.4155174933879171</v>
      </c>
      <c r="I57" s="1">
        <f t="shared" ca="1" si="5"/>
        <v>-74.947303762044442</v>
      </c>
      <c r="K57" s="1">
        <f t="shared" ca="1" si="1"/>
        <v>9.4330335257883993E-3</v>
      </c>
    </row>
    <row r="58" spans="1:11" x14ac:dyDescent="0.25">
      <c r="A58">
        <v>0.98000000000000054</v>
      </c>
      <c r="B58">
        <v>0.99728333406077474</v>
      </c>
      <c r="C58">
        <v>0.99134138453052423</v>
      </c>
      <c r="E58" s="1">
        <f t="shared" si="2"/>
        <v>96</v>
      </c>
      <c r="F58" s="1">
        <f t="shared" ca="1" si="7"/>
        <v>-20.375889980990831</v>
      </c>
      <c r="G58" s="1">
        <f t="shared" ca="1" si="4"/>
        <v>-1.7363505318027128</v>
      </c>
      <c r="H58" s="1">
        <f t="shared" ca="1" si="0"/>
        <v>-0.37916519483972727</v>
      </c>
      <c r="I58" s="1">
        <f t="shared" ca="1" si="5"/>
        <v>-74.952734736380577</v>
      </c>
      <c r="K58" s="1">
        <f t="shared" ca="1" si="1"/>
        <v>-5.4309743361336165E-3</v>
      </c>
    </row>
    <row r="59" spans="1:11" x14ac:dyDescent="0.25">
      <c r="A59">
        <v>1.0000000000000004</v>
      </c>
      <c r="B59">
        <v>1.0015525417400371</v>
      </c>
      <c r="C59">
        <v>0.21346038396311984</v>
      </c>
      <c r="E59" s="1">
        <f t="shared" si="2"/>
        <v>98</v>
      </c>
      <c r="F59" s="1">
        <f t="shared" ref="F59:F74" ca="1" si="8">F58+G58*dt</f>
        <v>-23.848591044596255</v>
      </c>
      <c r="G59" s="1">
        <f t="shared" ca="1" si="4"/>
        <v>-2.4946809214821672</v>
      </c>
      <c r="H59" s="1">
        <f t="shared" ca="1" si="0"/>
        <v>-0.33171664198191841</v>
      </c>
      <c r="I59" s="1">
        <f t="shared" ca="1" si="5"/>
        <v>-74.947833439165549</v>
      </c>
      <c r="K59" s="1">
        <f t="shared" ca="1" si="1"/>
        <v>4.9012972150232637E-3</v>
      </c>
    </row>
    <row r="60" spans="1:11" x14ac:dyDescent="0.25">
      <c r="A60">
        <v>1.0200000000000005</v>
      </c>
      <c r="B60">
        <v>0.99019752976815489</v>
      </c>
      <c r="C60">
        <v>-0.56775059859410903</v>
      </c>
      <c r="E60" s="1">
        <f t="shared" si="2"/>
        <v>100</v>
      </c>
      <c r="F60" s="1">
        <f t="shared" ca="1" si="8"/>
        <v>-28.83795288756059</v>
      </c>
      <c r="G60" s="1">
        <f t="shared" ca="1" si="4"/>
        <v>-3.1581142054460041</v>
      </c>
      <c r="H60" s="1">
        <f t="shared" ca="1" si="0"/>
        <v>-0.27502854365416823</v>
      </c>
      <c r="I60" s="1">
        <f t="shared" ca="1" si="5"/>
        <v>-74.94897908757612</v>
      </c>
      <c r="J60" t="s">
        <v>9</v>
      </c>
      <c r="K60" s="1">
        <f t="shared" ca="1" si="1"/>
        <v>-1.1456484105703258E-3</v>
      </c>
    </row>
    <row r="61" spans="1:11" x14ac:dyDescent="0.25">
      <c r="A61">
        <v>1.0400000000000005</v>
      </c>
      <c r="B61">
        <v>0.96339543633188951</v>
      </c>
      <c r="C61">
        <v>-1.3401046718132699</v>
      </c>
      <c r="E61" s="1">
        <f t="shared" si="2"/>
        <v>102</v>
      </c>
      <c r="F61" s="1">
        <f t="shared" ca="1" si="8"/>
        <v>-35.154181298452599</v>
      </c>
      <c r="G61" s="1">
        <f t="shared" ca="1" si="4"/>
        <v>-3.7081712927543404</v>
      </c>
      <c r="H61" s="1">
        <f t="shared" ca="1" si="0"/>
        <v>-0.210942741326059</v>
      </c>
      <c r="I61" s="1">
        <f t="shared" ca="1" si="5"/>
        <v>-74.939018730744309</v>
      </c>
      <c r="K61" s="1">
        <f t="shared" ca="1" si="1"/>
        <v>9.9603568318103429E-3</v>
      </c>
    </row>
    <row r="62" spans="1:11" x14ac:dyDescent="0.25">
      <c r="A62">
        <v>1.0600000000000005</v>
      </c>
      <c r="B62">
        <v>0.92156437408884662</v>
      </c>
      <c r="C62">
        <v>-2.0915531121521438</v>
      </c>
      <c r="E62" s="1">
        <f t="shared" si="2"/>
        <v>104</v>
      </c>
      <c r="F62" s="1">
        <f t="shared" ca="1" si="8"/>
        <v>-42.570523883961279</v>
      </c>
      <c r="G62" s="1">
        <f t="shared" ca="1" si="4"/>
        <v>-4.1300567754064588</v>
      </c>
      <c r="H62" s="1">
        <f t="shared" ca="1" si="0"/>
        <v>-0.14181758231080396</v>
      </c>
      <c r="I62" s="1">
        <f t="shared" ca="1" si="5"/>
        <v>-74.942716690589108</v>
      </c>
      <c r="K62" s="1">
        <f t="shared" ca="1" si="1"/>
        <v>-3.6979598448018168E-3</v>
      </c>
    </row>
    <row r="63" spans="1:11" x14ac:dyDescent="0.25">
      <c r="A63">
        <v>1.0800000000000005</v>
      </c>
      <c r="B63">
        <v>0.86535690761001771</v>
      </c>
      <c r="C63">
        <v>-2.8103733239414441</v>
      </c>
      <c r="E63" s="1">
        <f t="shared" si="2"/>
        <v>106</v>
      </c>
      <c r="F63" s="1">
        <f t="shared" ca="1" si="8"/>
        <v>-50.830637434774196</v>
      </c>
      <c r="G63" s="1">
        <f t="shared" ca="1" si="4"/>
        <v>-4.413691940028067</v>
      </c>
      <c r="H63" s="1">
        <f t="shared" ca="1" si="0"/>
        <v>-6.9739055564938465E-2</v>
      </c>
      <c r="I63" s="1">
        <f t="shared" ca="1" si="5"/>
        <v>-74.936534813965309</v>
      </c>
      <c r="K63" s="1">
        <f t="shared" ca="1" si="1"/>
        <v>6.1818766238030841E-3</v>
      </c>
    </row>
    <row r="64" spans="1:11" x14ac:dyDescent="0.25">
      <c r="A64">
        <v>1.1000000000000005</v>
      </c>
      <c r="B64">
        <v>0.7956498733724725</v>
      </c>
      <c r="C64">
        <v>-3.4853517118772581</v>
      </c>
      <c r="E64" s="1">
        <f t="shared" si="2"/>
        <v>108</v>
      </c>
      <c r="F64" s="1">
        <f t="shared" ca="1" si="8"/>
        <v>-59.658021314830329</v>
      </c>
      <c r="G64" s="1">
        <f t="shared" ca="1" si="4"/>
        <v>-4.5531700511579443</v>
      </c>
      <c r="H64" s="1">
        <f t="shared" ca="1" si="0"/>
        <v>2.7898085936057249E-3</v>
      </c>
      <c r="I64" s="1">
        <f t="shared" ca="1" si="5"/>
        <v>-74.944578850397917</v>
      </c>
      <c r="K64" s="1">
        <f t="shared" ca="1" si="1"/>
        <v>-8.0440364326056918E-3</v>
      </c>
    </row>
    <row r="65" spans="1:11" x14ac:dyDescent="0.25">
      <c r="A65">
        <v>1.1200000000000006</v>
      </c>
      <c r="B65">
        <v>0.7135307011103168</v>
      </c>
      <c r="C65">
        <v>-4.105958613107787</v>
      </c>
      <c r="E65" s="1">
        <f t="shared" si="2"/>
        <v>110</v>
      </c>
      <c r="F65" s="1">
        <f t="shared" ca="1" si="8"/>
        <v>-68.764361417146219</v>
      </c>
      <c r="G65" s="1">
        <f t="shared" ca="1" si="4"/>
        <v>-4.5475904339707327</v>
      </c>
      <c r="H65" s="1">
        <f t="shared" ca="1" si="0"/>
        <v>7.3687862302684676E-2</v>
      </c>
      <c r="I65" s="1">
        <f t="shared" ca="1" si="5"/>
        <v>-74.942253895060446</v>
      </c>
      <c r="K65" s="1">
        <f t="shared" ca="1" si="1"/>
        <v>2.3249553374659125E-3</v>
      </c>
    </row>
    <row r="66" spans="1:11" x14ac:dyDescent="0.25">
      <c r="A66">
        <v>1.1400000000000006</v>
      </c>
      <c r="B66">
        <v>0.62028044991084008</v>
      </c>
      <c r="C66">
        <v>-4.662512559973834</v>
      </c>
      <c r="E66" s="1">
        <f t="shared" si="2"/>
        <v>112</v>
      </c>
      <c r="F66" s="1">
        <f t="shared" ca="1" si="8"/>
        <v>-77.859542285087684</v>
      </c>
      <c r="G66" s="1">
        <f t="shared" ca="1" si="4"/>
        <v>-4.400214709365363</v>
      </c>
      <c r="H66" s="1">
        <f t="shared" ca="1" si="0"/>
        <v>0.14063922690265876</v>
      </c>
      <c r="I66" s="1">
        <f t="shared" ca="1" si="5"/>
        <v>-74.947558606668835</v>
      </c>
      <c r="K66" s="1">
        <f t="shared" ca="1" si="1"/>
        <v>-5.3047116083939508E-3</v>
      </c>
    </row>
    <row r="67" spans="1:11" x14ac:dyDescent="0.25">
      <c r="A67">
        <v>1.1600000000000006</v>
      </c>
      <c r="B67">
        <v>0.51735382369275429</v>
      </c>
      <c r="C67">
        <v>-5.146331310904289</v>
      </c>
      <c r="E67" s="1">
        <f t="shared" si="2"/>
        <v>114</v>
      </c>
      <c r="F67" s="1">
        <f t="shared" ca="1" si="8"/>
        <v>-86.659971703818414</v>
      </c>
      <c r="G67" s="1">
        <f t="shared" ca="1" si="4"/>
        <v>-4.1189362555600457</v>
      </c>
      <c r="H67" s="1">
        <f t="shared" ca="1" si="0"/>
        <v>0.20172744011618621</v>
      </c>
      <c r="I67" s="1">
        <f t="shared" ca="1" si="5"/>
        <v>-74.949721900334183</v>
      </c>
      <c r="K67" s="1">
        <f t="shared" ca="1" si="1"/>
        <v>-2.1632936653481739E-3</v>
      </c>
    </row>
    <row r="68" spans="1:11" x14ac:dyDescent="0.25">
      <c r="A68">
        <v>1.1800000000000006</v>
      </c>
      <c r="B68">
        <v>0.40635647782506157</v>
      </c>
      <c r="C68">
        <v>-5.5498672933846374</v>
      </c>
      <c r="E68" s="1">
        <f t="shared" si="2"/>
        <v>116</v>
      </c>
      <c r="F68" s="1">
        <f t="shared" ca="1" si="8"/>
        <v>-94.897844214938502</v>
      </c>
      <c r="G68" s="1">
        <f t="shared" ca="1" si="4"/>
        <v>-3.7154813753276734</v>
      </c>
      <c r="H68" s="1">
        <f t="shared" ca="1" si="0"/>
        <v>0.25512446528628535</v>
      </c>
      <c r="I68" s="1">
        <f t="shared" ca="1" si="5"/>
        <v>-74.955592365258539</v>
      </c>
      <c r="K68" s="1">
        <f t="shared" ca="1" si="1"/>
        <v>-5.8704649243631144E-3</v>
      </c>
    </row>
    <row r="69" spans="1:11" x14ac:dyDescent="0.25">
      <c r="A69">
        <v>1.2000000000000006</v>
      </c>
      <c r="B69">
        <v>0.2890199709032979</v>
      </c>
      <c r="C69">
        <v>-5.8668253460881852</v>
      </c>
      <c r="E69" s="1">
        <f t="shared" si="2"/>
        <v>118</v>
      </c>
      <c r="F69" s="1">
        <f t="shared" ca="1" si="8"/>
        <v>-102.32880696559386</v>
      </c>
      <c r="G69" s="1">
        <f t="shared" ca="1" si="4"/>
        <v>4.4585776503932077</v>
      </c>
      <c r="H69" s="1">
        <f t="shared" ca="1" si="0"/>
        <v>9.3983917691859223E-2</v>
      </c>
      <c r="I69" s="1">
        <f t="shared" ca="1" si="5"/>
        <v>-74.960371231953189</v>
      </c>
      <c r="K69" s="1">
        <f t="shared" ca="1" si="1"/>
        <v>-4.7788666946501149E-3</v>
      </c>
    </row>
    <row r="70" spans="1:11" x14ac:dyDescent="0.25">
      <c r="A70">
        <v>1.2200000000000006</v>
      </c>
      <c r="B70">
        <v>0.16717475243544275</v>
      </c>
      <c r="C70">
        <v>-6.0922609233927574</v>
      </c>
      <c r="E70" s="1">
        <f t="shared" si="2"/>
        <v>120</v>
      </c>
      <c r="F70" s="1">
        <f t="shared" ca="1" si="8"/>
        <v>-93.411651664807437</v>
      </c>
      <c r="G70" s="1">
        <f t="shared" ca="1" si="4"/>
        <v>4.6465454857769259</v>
      </c>
      <c r="H70" s="1">
        <f t="shared" ca="1" si="0"/>
        <v>1.9361644010119569E-2</v>
      </c>
      <c r="I70" s="1">
        <f t="shared" ca="1" si="5"/>
        <v>-74.964335891866256</v>
      </c>
      <c r="K70" s="1">
        <f t="shared" ca="1" si="1"/>
        <v>-3.9646599130686647E-3</v>
      </c>
    </row>
    <row r="71" spans="1:11" x14ac:dyDescent="0.25">
      <c r="A71">
        <v>1.2400000000000007</v>
      </c>
      <c r="B71">
        <v>4.2721607829594693E-2</v>
      </c>
      <c r="C71">
        <v>-6.2226572302924028</v>
      </c>
      <c r="E71" s="1">
        <f t="shared" si="2"/>
        <v>122</v>
      </c>
      <c r="F71" s="1">
        <f t="shared" ca="1" si="8"/>
        <v>-84.118560693253585</v>
      </c>
      <c r="G71" s="1">
        <f t="shared" ca="1" si="4"/>
        <v>4.6852687737971648</v>
      </c>
      <c r="H71" s="1">
        <f t="shared" ca="1" si="0"/>
        <v>-5.4228879364501922E-2</v>
      </c>
      <c r="I71" s="1">
        <f t="shared" ca="1" si="5"/>
        <v>-74.972878158219984</v>
      </c>
      <c r="K71" s="1">
        <f t="shared" ca="1" si="1"/>
        <v>-8.5422663537219317E-3</v>
      </c>
    </row>
    <row r="72" spans="1:11" x14ac:dyDescent="0.25">
      <c r="A72">
        <v>1.2600000000000007</v>
      </c>
      <c r="B72">
        <v>-8.2397993858395052E-2</v>
      </c>
      <c r="C72">
        <v>-6.2559800843994866</v>
      </c>
      <c r="E72" s="1">
        <f t="shared" si="2"/>
        <v>124</v>
      </c>
      <c r="F72" s="1">
        <f t="shared" ca="1" si="8"/>
        <v>-74.748023145659261</v>
      </c>
      <c r="G72" s="1">
        <f t="shared" ca="1" si="4"/>
        <v>4.5768110150681611</v>
      </c>
      <c r="H72" s="1">
        <f t="shared" ca="1" si="0"/>
        <v>-0.12441733043127266</v>
      </c>
      <c r="I72" s="1">
        <f t="shared" ca="1" si="5"/>
        <v>-74.973509713280535</v>
      </c>
      <c r="K72" s="1">
        <f t="shared" ca="1" si="1"/>
        <v>-6.3155506054637153E-4</v>
      </c>
    </row>
    <row r="73" spans="1:11" x14ac:dyDescent="0.25">
      <c r="A73">
        <v>1.2800000000000007</v>
      </c>
      <c r="B73">
        <v>-0.20623218684219383</v>
      </c>
      <c r="C73">
        <v>-6.1917096491899386</v>
      </c>
      <c r="E73" s="1">
        <f t="shared" si="2"/>
        <v>126</v>
      </c>
      <c r="F73" s="1">
        <f t="shared" ca="1" si="8"/>
        <v>-65.594401115522942</v>
      </c>
      <c r="G73" s="1">
        <f t="shared" ca="1" si="4"/>
        <v>4.3279763542056156</v>
      </c>
      <c r="H73" s="1">
        <f t="shared" ca="1" si="0"/>
        <v>-0.18916262459391953</v>
      </c>
      <c r="I73" s="1">
        <f t="shared" ca="1" si="5"/>
        <v>-74.975536795165127</v>
      </c>
      <c r="K73" s="1">
        <f t="shared" ca="1" si="1"/>
        <v>-2.0270818845922766E-3</v>
      </c>
    </row>
    <row r="74" spans="1:11" x14ac:dyDescent="0.25">
      <c r="A74">
        <v>1.3000000000000007</v>
      </c>
      <c r="B74">
        <v>-0.32684915771125439</v>
      </c>
      <c r="C74">
        <v>-6.0308485434530272</v>
      </c>
      <c r="E74" s="1">
        <f t="shared" si="2"/>
        <v>128</v>
      </c>
      <c r="F74" s="1">
        <f t="shared" ca="1" si="8"/>
        <v>-56.938448407111707</v>
      </c>
      <c r="G74" s="1">
        <f t="shared" ca="1" si="4"/>
        <v>3.9496511050177765</v>
      </c>
      <c r="H74" s="1">
        <f t="shared" ref="H74:H137" ca="1" si="9">-k*(F74-I74)/m-(b+bb)*G74</f>
        <v>-0.24657678581995496</v>
      </c>
      <c r="I74" s="1">
        <f t="shared" ca="1" si="5"/>
        <v>-74.980260741147418</v>
      </c>
      <c r="K74" s="1">
        <f t="shared" ref="K74:K137" ca="1" si="10">NoiseAmp*(0.5-RAND())</f>
        <v>-4.723945982296811E-3</v>
      </c>
    </row>
    <row r="75" spans="1:11" x14ac:dyDescent="0.25">
      <c r="A75">
        <v>1.3200000000000007</v>
      </c>
      <c r="B75">
        <v>-0.44236728172001938</v>
      </c>
      <c r="C75">
        <v>-5.7759062004382491</v>
      </c>
      <c r="E75" s="1">
        <f t="shared" ref="E75:E138" si="11">E74+dt</f>
        <v>130</v>
      </c>
      <c r="F75" s="1">
        <f t="shared" ref="F75:F90" ca="1" si="12">F74+G74*dt</f>
        <v>-49.039146197076157</v>
      </c>
      <c r="G75" s="1">
        <f t="shared" ref="G75:G138" ca="1" si="13">IF(ABS(F75)&gt;100,-1.2*G74,G74+H74*dt)</f>
        <v>3.4564975333778665</v>
      </c>
      <c r="H75" s="1">
        <f t="shared" ca="1" si="9"/>
        <v>-0.29500939575971519</v>
      </c>
      <c r="I75" s="1">
        <f t="shared" ca="1" si="5"/>
        <v>-74.984692590049022</v>
      </c>
      <c r="K75" s="1">
        <f t="shared" ca="1" si="10"/>
        <v>-4.4318489016004015E-3</v>
      </c>
    </row>
    <row r="76" spans="1:11" x14ac:dyDescent="0.25">
      <c r="A76">
        <v>1.3400000000000007</v>
      </c>
      <c r="B76">
        <v>-0.55098447613395207</v>
      </c>
      <c r="C76">
        <v>-5.4308597206966338</v>
      </c>
      <c r="E76" s="1">
        <f t="shared" si="11"/>
        <v>132</v>
      </c>
      <c r="F76" s="1">
        <f t="shared" ca="1" si="12"/>
        <v>-42.126151130320423</v>
      </c>
      <c r="G76" s="1">
        <f t="shared" ca="1" si="13"/>
        <v>2.8664787418584359</v>
      </c>
      <c r="H76" s="1">
        <f t="shared" ca="1" si="9"/>
        <v>-0.33315244388594634</v>
      </c>
      <c r="I76" s="1">
        <f t="shared" ref="I76:I139" ca="1" si="14">I75+K76</f>
        <v>-74.989075951364043</v>
      </c>
      <c r="K76" s="1">
        <f t="shared" ca="1" si="10"/>
        <v>-4.3833613150225225E-3</v>
      </c>
    </row>
    <row r="77" spans="1:11" x14ac:dyDescent="0.25">
      <c r="A77">
        <v>1.3600000000000008</v>
      </c>
      <c r="B77">
        <v>-0.65100631272019505</v>
      </c>
      <c r="C77">
        <v>-5.0010918293121511</v>
      </c>
      <c r="E77" s="1">
        <f t="shared" si="11"/>
        <v>134</v>
      </c>
      <c r="F77" s="1">
        <f t="shared" ca="1" si="12"/>
        <v>-36.393193646603549</v>
      </c>
      <c r="G77" s="1">
        <f t="shared" ca="1" si="13"/>
        <v>2.2001738540865432</v>
      </c>
      <c r="H77" s="1">
        <f t="shared" ca="1" si="9"/>
        <v>-0.36003788839241607</v>
      </c>
      <c r="I77" s="1">
        <f t="shared" ca="1" si="14"/>
        <v>-74.992325582872354</v>
      </c>
      <c r="K77" s="1">
        <f t="shared" ca="1" si="10"/>
        <v>-3.2496315083176742E-3</v>
      </c>
    </row>
    <row r="78" spans="1:11" x14ac:dyDescent="0.25">
      <c r="A78">
        <v>1.3800000000000008</v>
      </c>
      <c r="B78">
        <v>-0.74087245082800302</v>
      </c>
      <c r="C78">
        <v>-4.4933069053903987</v>
      </c>
      <c r="E78" s="1">
        <f t="shared" si="11"/>
        <v>136</v>
      </c>
      <c r="F78" s="1">
        <f t="shared" ca="1" si="12"/>
        <v>-31.992845938430463</v>
      </c>
      <c r="G78" s="1">
        <f t="shared" ca="1" si="13"/>
        <v>1.4800980773017112</v>
      </c>
      <c r="H78" s="1">
        <f t="shared" ca="1" si="9"/>
        <v>-0.37503149970534189</v>
      </c>
      <c r="I78" s="1">
        <f t="shared" ca="1" si="14"/>
        <v>-74.988342250437654</v>
      </c>
      <c r="K78" s="1">
        <f t="shared" ca="1" si="10"/>
        <v>3.983332434696789E-3</v>
      </c>
    </row>
    <row r="79" spans="1:11" x14ac:dyDescent="0.25">
      <c r="A79">
        <v>1.4000000000000008</v>
      </c>
      <c r="B79">
        <v>-0.81918097870289408</v>
      </c>
      <c r="C79">
        <v>-3.9154263937445561</v>
      </c>
      <c r="E79" s="1">
        <f t="shared" si="11"/>
        <v>138</v>
      </c>
      <c r="F79" s="1">
        <f t="shared" ca="1" si="12"/>
        <v>-29.03264978382704</v>
      </c>
      <c r="G79" s="1">
        <f t="shared" ca="1" si="13"/>
        <v>0.7300350778910274</v>
      </c>
      <c r="H79" s="1">
        <f t="shared" ca="1" si="9"/>
        <v>-0.37805131075643439</v>
      </c>
      <c r="I79" s="1">
        <f t="shared" ca="1" si="14"/>
        <v>-74.99244089523151</v>
      </c>
      <c r="K79" s="1">
        <f t="shared" ca="1" si="10"/>
        <v>-4.098644793862718E-3</v>
      </c>
    </row>
    <row r="80" spans="1:11" x14ac:dyDescent="0.25">
      <c r="A80">
        <v>1.4200000000000008</v>
      </c>
      <c r="B80">
        <v>-0.88471028331002011</v>
      </c>
      <c r="C80">
        <v>-3.2764652303562989</v>
      </c>
      <c r="E80" s="1">
        <f t="shared" si="11"/>
        <v>140</v>
      </c>
      <c r="F80" s="1">
        <f t="shared" ca="1" si="12"/>
        <v>-27.572579628044984</v>
      </c>
      <c r="G80" s="1">
        <f t="shared" ca="1" si="13"/>
        <v>-2.6067543621841383E-2</v>
      </c>
      <c r="H80" s="1">
        <f t="shared" ca="1" si="9"/>
        <v>-0.36921727068625682</v>
      </c>
      <c r="I80" s="1">
        <f t="shared" ca="1" si="14"/>
        <v>-74.997692558214496</v>
      </c>
      <c r="K80" s="1">
        <f t="shared" ca="1" si="10"/>
        <v>-5.2516629829885454E-3</v>
      </c>
    </row>
    <row r="81" spans="1:11" x14ac:dyDescent="0.25">
      <c r="A81">
        <v>1.4400000000000008</v>
      </c>
      <c r="B81">
        <v>-0.93643810749750978</v>
      </c>
      <c r="C81">
        <v>-2.586391209374483</v>
      </c>
      <c r="E81" s="1">
        <f t="shared" si="11"/>
        <v>142</v>
      </c>
      <c r="F81" s="1">
        <f t="shared" ca="1" si="12"/>
        <v>-27.624714715288668</v>
      </c>
      <c r="G81" s="1">
        <f t="shared" ca="1" si="13"/>
        <v>-0.76450208499435501</v>
      </c>
      <c r="H81" s="1">
        <f t="shared" ca="1" si="9"/>
        <v>-0.3489979649026223</v>
      </c>
      <c r="I81" s="1">
        <f t="shared" ca="1" si="14"/>
        <v>-74.994794302528547</v>
      </c>
      <c r="K81" s="1">
        <f t="shared" ca="1" si="10"/>
        <v>2.8982556859443844E-3</v>
      </c>
    </row>
    <row r="82" spans="1:11" x14ac:dyDescent="0.25">
      <c r="A82">
        <v>1.4600000000000009</v>
      </c>
      <c r="B82">
        <v>-0.9735574972080383</v>
      </c>
      <c r="C82">
        <v>-1.8559694855264253</v>
      </c>
      <c r="E82" s="1">
        <f t="shared" si="11"/>
        <v>144</v>
      </c>
      <c r="F82" s="1">
        <f t="shared" ca="1" si="12"/>
        <v>-29.153718885277378</v>
      </c>
      <c r="G82" s="1">
        <f t="shared" ca="1" si="13"/>
        <v>-1.4624980147995996</v>
      </c>
      <c r="H82" s="1">
        <f t="shared" ca="1" si="9"/>
        <v>-0.31834118114199439</v>
      </c>
      <c r="I82" s="1">
        <f t="shared" ca="1" si="14"/>
        <v>-74.991684005613749</v>
      </c>
      <c r="K82" s="1">
        <f t="shared" ca="1" si="10"/>
        <v>3.1102969148045115E-3</v>
      </c>
    </row>
    <row r="83" spans="1:11" x14ac:dyDescent="0.25">
      <c r="A83">
        <v>1.4800000000000009</v>
      </c>
      <c r="B83">
        <v>-0.99548938996212144</v>
      </c>
      <c r="C83">
        <v>-1.0965946377041553</v>
      </c>
      <c r="E83" s="1">
        <f t="shared" si="11"/>
        <v>146</v>
      </c>
      <c r="F83" s="1">
        <f t="shared" ca="1" si="12"/>
        <v>-32.078714914876578</v>
      </c>
      <c r="G83" s="1">
        <f t="shared" ca="1" si="13"/>
        <v>-2.0991803770835884</v>
      </c>
      <c r="H83" s="1">
        <f t="shared" ca="1" si="9"/>
        <v>-0.27852752024181643</v>
      </c>
      <c r="I83" s="1">
        <f t="shared" ca="1" si="14"/>
        <v>-74.999939831242813</v>
      </c>
      <c r="K83" s="1">
        <f t="shared" ca="1" si="10"/>
        <v>-8.2558256290622082E-3</v>
      </c>
    </row>
    <row r="84" spans="1:11" x14ac:dyDescent="0.25">
      <c r="A84">
        <v>1.5000000000000009</v>
      </c>
      <c r="B84">
        <v>-1.0018916482327955</v>
      </c>
      <c r="C84">
        <v>-0.32011291353370064</v>
      </c>
      <c r="E84" s="1">
        <f t="shared" si="11"/>
        <v>148</v>
      </c>
      <c r="F84" s="1">
        <f t="shared" ca="1" si="12"/>
        <v>-36.277075669043754</v>
      </c>
      <c r="G84" s="1">
        <f t="shared" ca="1" si="13"/>
        <v>-2.6562354175672214</v>
      </c>
      <c r="H84" s="1">
        <f t="shared" ca="1" si="9"/>
        <v>-0.23092761358547906</v>
      </c>
      <c r="I84" s="1">
        <f t="shared" ca="1" si="14"/>
        <v>-75.009732435233573</v>
      </c>
      <c r="K84" s="1">
        <f t="shared" ca="1" si="10"/>
        <v>-9.7926039907614195E-3</v>
      </c>
    </row>
    <row r="85" spans="1:11" x14ac:dyDescent="0.25">
      <c r="A85">
        <v>1.5200000000000009</v>
      </c>
      <c r="B85">
        <v>-0.99266439679103791</v>
      </c>
      <c r="C85">
        <v>0.4613625720878799</v>
      </c>
      <c r="E85" s="1">
        <f t="shared" si="11"/>
        <v>150</v>
      </c>
      <c r="F85" s="1">
        <f t="shared" ca="1" si="12"/>
        <v>-41.589546504178195</v>
      </c>
      <c r="G85" s="1">
        <f t="shared" ca="1" si="13"/>
        <v>-3.1180906447381793</v>
      </c>
      <c r="H85" s="1">
        <f t="shared" ca="1" si="9"/>
        <v>-0.17709574372424811</v>
      </c>
      <c r="I85" s="1">
        <f t="shared" ca="1" si="14"/>
        <v>-75.007568684079644</v>
      </c>
      <c r="J85" s="2" t="s">
        <v>13</v>
      </c>
      <c r="K85" s="1">
        <f t="shared" ca="1" si="10"/>
        <v>2.1637511539361731E-3</v>
      </c>
    </row>
    <row r="86" spans="1:11" x14ac:dyDescent="0.25">
      <c r="A86">
        <v>1.5400000000000009</v>
      </c>
      <c r="B86">
        <v>-0.96795158075934007</v>
      </c>
      <c r="C86">
        <v>1.2356408015848894</v>
      </c>
      <c r="E86" s="1">
        <f t="shared" si="11"/>
        <v>152</v>
      </c>
      <c r="F86" s="1">
        <f t="shared" ca="1" si="12"/>
        <v>-47.825727793654551</v>
      </c>
      <c r="G86" s="1">
        <f t="shared" ca="1" si="13"/>
        <v>-3.4722821321866757</v>
      </c>
      <c r="H86" s="1">
        <f t="shared" ca="1" si="9"/>
        <v>-0.11902606443715995</v>
      </c>
      <c r="I86" s="1">
        <f t="shared" ca="1" si="14"/>
        <v>-75.015884919265176</v>
      </c>
      <c r="K86" s="1">
        <f t="shared" ca="1" si="10"/>
        <v>-8.3162351855320914E-3</v>
      </c>
    </row>
    <row r="87" spans="1:11" x14ac:dyDescent="0.25">
      <c r="A87">
        <v>1.5600000000000009</v>
      </c>
      <c r="B87">
        <v>-0.92813872006779663</v>
      </c>
      <c r="C87">
        <v>1.9906430345771746</v>
      </c>
      <c r="E87" s="1">
        <f t="shared" si="11"/>
        <v>154</v>
      </c>
      <c r="F87" s="1">
        <f t="shared" ca="1" si="12"/>
        <v>-54.770292058027906</v>
      </c>
      <c r="G87" s="1">
        <f t="shared" ca="1" si="13"/>
        <v>-3.7103342610609955</v>
      </c>
      <c r="H87" s="1">
        <f t="shared" ca="1" si="9"/>
        <v>-5.8480979270516723E-2</v>
      </c>
      <c r="I87" s="1">
        <f t="shared" ca="1" si="14"/>
        <v>-75.016181476867828</v>
      </c>
      <c r="K87" s="1">
        <f t="shared" ca="1" si="10"/>
        <v>-2.9655760264686305E-4</v>
      </c>
    </row>
    <row r="88" spans="1:11" x14ac:dyDescent="0.25">
      <c r="A88">
        <v>1.580000000000001</v>
      </c>
      <c r="B88">
        <v>-0.87384689534319548</v>
      </c>
      <c r="C88">
        <v>2.7145912362300559</v>
      </c>
      <c r="E88" s="1">
        <f t="shared" si="11"/>
        <v>156</v>
      </c>
      <c r="F88" s="1">
        <f t="shared" ca="1" si="12"/>
        <v>-62.190960580149898</v>
      </c>
      <c r="G88" s="1">
        <f t="shared" ca="1" si="13"/>
        <v>-3.827296219602029</v>
      </c>
      <c r="H88" s="1">
        <f t="shared" ca="1" si="9"/>
        <v>2.4595617262235386E-3</v>
      </c>
      <c r="I88" s="1">
        <f t="shared" ca="1" si="14"/>
        <v>-75.025829421061545</v>
      </c>
      <c r="K88" s="1">
        <f t="shared" ca="1" si="10"/>
        <v>-9.6479441937159204E-3</v>
      </c>
    </row>
    <row r="89" spans="1:11" x14ac:dyDescent="0.25">
      <c r="A89">
        <v>1.600000000000001</v>
      </c>
      <c r="B89">
        <v>-0.80592305905124051</v>
      </c>
      <c r="C89">
        <v>3.3961918145977483</v>
      </c>
      <c r="E89" s="1">
        <f t="shared" si="11"/>
        <v>158</v>
      </c>
      <c r="F89" s="1">
        <f t="shared" ca="1" si="12"/>
        <v>-69.845553019353957</v>
      </c>
      <c r="G89" s="1">
        <f t="shared" ca="1" si="13"/>
        <v>-3.822377096149582</v>
      </c>
      <c r="H89" s="1">
        <f t="shared" ca="1" si="9"/>
        <v>6.1962641585366164E-2</v>
      </c>
      <c r="I89" s="1">
        <f t="shared" ca="1" si="14"/>
        <v>-75.034920274667115</v>
      </c>
      <c r="K89" s="1">
        <f t="shared" ca="1" si="10"/>
        <v>-9.0908536055733877E-3</v>
      </c>
    </row>
    <row r="90" spans="1:11" x14ac:dyDescent="0.25">
      <c r="A90">
        <v>1.620000000000001</v>
      </c>
      <c r="B90">
        <v>-0.72542682303808614</v>
      </c>
      <c r="C90">
        <v>4.0248118006577158</v>
      </c>
      <c r="E90" s="1">
        <f t="shared" si="11"/>
        <v>160</v>
      </c>
      <c r="F90" s="1">
        <f t="shared" ca="1" si="12"/>
        <v>-77.490307211653118</v>
      </c>
      <c r="G90" s="1">
        <f t="shared" ca="1" si="13"/>
        <v>-3.6984518129788495</v>
      </c>
      <c r="H90" s="1">
        <f t="shared" ca="1" si="9"/>
        <v>0.11826163256850869</v>
      </c>
      <c r="I90" s="1">
        <f t="shared" ca="1" si="14"/>
        <v>-75.036060547463947</v>
      </c>
      <c r="K90" s="1">
        <f t="shared" ca="1" si="10"/>
        <v>-1.1402727968322578E-3</v>
      </c>
    </row>
    <row r="91" spans="1:11" x14ac:dyDescent="0.25">
      <c r="A91">
        <v>1.640000000000001</v>
      </c>
      <c r="B91">
        <v>-0.63361392858553767</v>
      </c>
      <c r="C91">
        <v>4.590644722627423</v>
      </c>
      <c r="E91" s="1">
        <f t="shared" si="11"/>
        <v>162</v>
      </c>
      <c r="F91" s="1">
        <f t="shared" ref="F91:F106" ca="1" si="15">F90+G90*dt</f>
        <v>-84.887210837610823</v>
      </c>
      <c r="G91" s="1">
        <f t="shared" ca="1" si="13"/>
        <v>-3.4619285478418322</v>
      </c>
      <c r="H91" s="1">
        <f t="shared" ca="1" si="9"/>
        <v>0.1696909833136101</v>
      </c>
      <c r="I91" s="1">
        <f t="shared" ca="1" si="14"/>
        <v>-75.026787987425053</v>
      </c>
      <c r="K91" s="1">
        <f t="shared" ca="1" si="10"/>
        <v>9.2725600389005642E-3</v>
      </c>
    </row>
    <row r="92" spans="1:11" x14ac:dyDescent="0.25">
      <c r="A92">
        <v>1.660000000000001</v>
      </c>
      <c r="B92">
        <v>-0.5319166568470548</v>
      </c>
      <c r="C92">
        <v>5.0848635869241425</v>
      </c>
      <c r="E92" s="1">
        <f t="shared" si="11"/>
        <v>164</v>
      </c>
      <c r="F92" s="1">
        <f t="shared" ca="1" si="15"/>
        <v>-91.811067933294481</v>
      </c>
      <c r="G92" s="1">
        <f t="shared" ca="1" si="13"/>
        <v>-3.1225465812146123</v>
      </c>
      <c r="H92" s="1">
        <f t="shared" ca="1" si="9"/>
        <v>0.21459722239212922</v>
      </c>
      <c r="I92" s="1">
        <f t="shared" ca="1" si="14"/>
        <v>-75.027353315912734</v>
      </c>
      <c r="K92" s="1">
        <f t="shared" ca="1" si="10"/>
        <v>-5.6532848768664045E-4</v>
      </c>
    </row>
    <row r="93" spans="1:11" x14ac:dyDescent="0.25">
      <c r="A93">
        <v>1.680000000000001</v>
      </c>
      <c r="B93">
        <v>-0.42192148526175788</v>
      </c>
      <c r="C93">
        <v>5.4997585792648449</v>
      </c>
      <c r="E93" s="1">
        <f t="shared" si="11"/>
        <v>166</v>
      </c>
      <c r="F93" s="1">
        <f t="shared" ca="1" si="15"/>
        <v>-98.056161095723709</v>
      </c>
      <c r="G93" s="1">
        <f t="shared" ca="1" si="13"/>
        <v>-2.6933521364303536</v>
      </c>
      <c r="H93" s="1">
        <f t="shared" ca="1" si="9"/>
        <v>0.25181498440215622</v>
      </c>
      <c r="I93" s="1">
        <f t="shared" ca="1" si="14"/>
        <v>-75.026270436002847</v>
      </c>
      <c r="K93" s="1">
        <f t="shared" ca="1" si="10"/>
        <v>1.082879909885155E-3</v>
      </c>
    </row>
    <row r="94" spans="1:11" x14ac:dyDescent="0.25">
      <c r="A94">
        <v>1.7000000000000011</v>
      </c>
      <c r="B94">
        <v>-0.30534433850637754</v>
      </c>
      <c r="C94">
        <v>5.8288573377690156</v>
      </c>
      <c r="E94" s="1">
        <f t="shared" si="11"/>
        <v>168</v>
      </c>
      <c r="F94" s="1">
        <f t="shared" ca="1" si="15"/>
        <v>-103.44286536858442</v>
      </c>
      <c r="G94" s="1">
        <f t="shared" ca="1" si="13"/>
        <v>3.2320225637164244</v>
      </c>
      <c r="H94" s="1">
        <f t="shared" ca="1" si="9"/>
        <v>0.13496276730869863</v>
      </c>
      <c r="I94" s="1">
        <f t="shared" ca="1" si="14"/>
        <v>-75.035048443417907</v>
      </c>
      <c r="K94" s="1">
        <f t="shared" ca="1" si="10"/>
        <v>-8.7780074150620099E-3</v>
      </c>
    </row>
    <row r="95" spans="1:11" x14ac:dyDescent="0.25">
      <c r="A95">
        <v>1.7200000000000011</v>
      </c>
      <c r="B95">
        <v>-0.18400382007029775</v>
      </c>
      <c r="C95">
        <v>6.0670259218039897</v>
      </c>
      <c r="E95" s="1">
        <f t="shared" si="11"/>
        <v>170</v>
      </c>
      <c r="F95" s="1">
        <f t="shared" ca="1" si="15"/>
        <v>-96.978820241151567</v>
      </c>
      <c r="G95" s="1">
        <f t="shared" ca="1" si="13"/>
        <v>3.5019480983338216</v>
      </c>
      <c r="H95" s="1">
        <f t="shared" ca="1" si="9"/>
        <v>7.7292872095775081E-2</v>
      </c>
      <c r="I95" s="1">
        <f t="shared" ca="1" si="14"/>
        <v>-75.037143173059064</v>
      </c>
      <c r="K95" s="1">
        <f t="shared" ca="1" si="10"/>
        <v>-2.0947296411602712E-3</v>
      </c>
    </row>
    <row r="96" spans="1:11" x14ac:dyDescent="0.25">
      <c r="A96">
        <v>1.7400000000000011</v>
      </c>
      <c r="B96">
        <v>-5.9792842041121314E-2</v>
      </c>
      <c r="C96">
        <v>6.2105489014588215</v>
      </c>
      <c r="E96" s="1">
        <f t="shared" si="11"/>
        <v>172</v>
      </c>
      <c r="F96" s="1">
        <f t="shared" ca="1" si="15"/>
        <v>-89.974924044483927</v>
      </c>
      <c r="G96" s="1">
        <f t="shared" ca="1" si="13"/>
        <v>3.6565338425253717</v>
      </c>
      <c r="H96" s="1">
        <f t="shared" ca="1" si="9"/>
        <v>1.8552113206443163E-2</v>
      </c>
      <c r="I96" s="1">
        <f t="shared" ca="1" si="14"/>
        <v>-75.032972738570706</v>
      </c>
      <c r="K96" s="1">
        <f t="shared" ca="1" si="10"/>
        <v>4.170434488363353E-3</v>
      </c>
    </row>
    <row r="97" spans="1:11" x14ac:dyDescent="0.25">
      <c r="A97">
        <v>1.7600000000000011</v>
      </c>
      <c r="B97">
        <v>6.5350904323896619E-2</v>
      </c>
      <c r="C97">
        <v>6.2571873182508959</v>
      </c>
      <c r="E97" s="1">
        <f t="shared" si="11"/>
        <v>174</v>
      </c>
      <c r="F97" s="1">
        <f t="shared" ca="1" si="15"/>
        <v>-82.661856359433187</v>
      </c>
      <c r="G97" s="1">
        <f t="shared" ca="1" si="13"/>
        <v>3.6936380689382582</v>
      </c>
      <c r="H97" s="1">
        <f t="shared" ca="1" si="9"/>
        <v>-3.9466007727107802E-2</v>
      </c>
      <c r="I97" s="1">
        <f t="shared" ca="1" si="14"/>
        <v>-75.030639369633505</v>
      </c>
      <c r="K97" s="1">
        <f t="shared" ca="1" si="10"/>
        <v>2.3333689372002733E-3</v>
      </c>
    </row>
    <row r="98" spans="1:11" x14ac:dyDescent="0.25">
      <c r="A98">
        <v>1.7800000000000011</v>
      </c>
      <c r="B98">
        <v>0.18947517658146174</v>
      </c>
      <c r="C98">
        <v>6.2062136128782566</v>
      </c>
      <c r="E98" s="1">
        <f t="shared" si="11"/>
        <v>176</v>
      </c>
      <c r="F98" s="1">
        <f t="shared" ca="1" si="15"/>
        <v>-75.274580221556675</v>
      </c>
      <c r="G98" s="1">
        <f t="shared" ca="1" si="13"/>
        <v>3.6147060534840425</v>
      </c>
      <c r="H98" s="1">
        <f t="shared" ca="1" si="9"/>
        <v>-9.4989010756791142E-2</v>
      </c>
      <c r="I98" s="1">
        <f t="shared" ca="1" si="14"/>
        <v>-75.032899263020624</v>
      </c>
      <c r="K98" s="1">
        <f t="shared" ca="1" si="10"/>
        <v>-2.2598933871246607E-3</v>
      </c>
    </row>
    <row r="99" spans="1:11" x14ac:dyDescent="0.25">
      <c r="A99">
        <v>1.8000000000000012</v>
      </c>
      <c r="B99">
        <v>0.31064363608435608</v>
      </c>
      <c r="C99">
        <v>6.0584229751447163</v>
      </c>
      <c r="E99" s="1">
        <f t="shared" si="11"/>
        <v>178</v>
      </c>
      <c r="F99" s="1">
        <f t="shared" ca="1" si="15"/>
        <v>-68.045168114588591</v>
      </c>
      <c r="G99" s="1">
        <f t="shared" ca="1" si="13"/>
        <v>3.4247280319704601</v>
      </c>
      <c r="H99" s="1">
        <f t="shared" ca="1" si="9"/>
        <v>-0.14631745773520363</v>
      </c>
      <c r="I99" s="1">
        <f t="shared" ca="1" si="14"/>
        <v>-75.036802278485425</v>
      </c>
      <c r="K99" s="1">
        <f t="shared" ca="1" si="10"/>
        <v>-3.9030154648071625E-3</v>
      </c>
    </row>
    <row r="100" spans="1:11" x14ac:dyDescent="0.25">
      <c r="A100">
        <v>1.8200000000000012</v>
      </c>
      <c r="B100">
        <v>0.42696605486433448</v>
      </c>
      <c r="C100">
        <v>5.8161209389989184</v>
      </c>
      <c r="E100" s="1">
        <f t="shared" si="11"/>
        <v>180</v>
      </c>
      <c r="F100" s="1">
        <f t="shared" ca="1" si="15"/>
        <v>-61.195712050647671</v>
      </c>
      <c r="G100" s="1">
        <f t="shared" ca="1" si="13"/>
        <v>3.132093116500053</v>
      </c>
      <c r="H100" s="1">
        <f t="shared" ca="1" si="9"/>
        <v>-0.19195233898267658</v>
      </c>
      <c r="I100" s="1">
        <f t="shared" ca="1" si="14"/>
        <v>-75.043435571221409</v>
      </c>
      <c r="K100" s="1">
        <f t="shared" ca="1" si="10"/>
        <v>-6.6332927359795965E-3</v>
      </c>
    </row>
    <row r="101" spans="1:11" x14ac:dyDescent="0.25">
      <c r="A101">
        <v>1.8400000000000012</v>
      </c>
      <c r="B101">
        <v>0.53662780318842929</v>
      </c>
      <c r="C101">
        <v>5.4830874162047376</v>
      </c>
      <c r="E101" s="1">
        <f t="shared" si="11"/>
        <v>182</v>
      </c>
      <c r="F101" s="1">
        <f t="shared" ca="1" si="15"/>
        <v>-54.931525817647568</v>
      </c>
      <c r="G101" s="1">
        <f t="shared" ca="1" si="13"/>
        <v>2.7481884385347</v>
      </c>
      <c r="H101" s="1">
        <f t="shared" ca="1" si="9"/>
        <v>-0.2305229350806785</v>
      </c>
      <c r="I101" s="1">
        <f t="shared" ca="1" si="14"/>
        <v>-75.043254654564052</v>
      </c>
      <c r="K101" s="1">
        <f t="shared" ca="1" si="10"/>
        <v>1.8091665735035179E-4</v>
      </c>
    </row>
    <row r="102" spans="1:11" x14ac:dyDescent="0.25">
      <c r="A102">
        <v>1.8600000000000012</v>
      </c>
      <c r="B102">
        <v>0.6379181577827846</v>
      </c>
      <c r="C102">
        <v>5.064517729717763</v>
      </c>
      <c r="E102" s="1">
        <f t="shared" si="11"/>
        <v>184</v>
      </c>
      <c r="F102" s="1">
        <f t="shared" ca="1" si="15"/>
        <v>-49.435148940578166</v>
      </c>
      <c r="G102" s="1">
        <f t="shared" ca="1" si="13"/>
        <v>2.2871425683733428</v>
      </c>
      <c r="H102" s="1">
        <f t="shared" ca="1" si="9"/>
        <v>-0.26103766860895466</v>
      </c>
      <c r="I102" s="1">
        <f t="shared" ca="1" si="14"/>
        <v>-75.043129424751129</v>
      </c>
      <c r="K102" s="1">
        <f t="shared" ca="1" si="10"/>
        <v>1.2522981292672374E-4</v>
      </c>
    </row>
    <row r="103" spans="1:11" x14ac:dyDescent="0.25">
      <c r="A103">
        <v>1.8800000000000012</v>
      </c>
      <c r="B103">
        <v>0.72925698911572845</v>
      </c>
      <c r="C103">
        <v>4.5669415666471913</v>
      </c>
      <c r="E103" s="1">
        <f t="shared" si="11"/>
        <v>186</v>
      </c>
      <c r="F103" s="1">
        <f t="shared" ca="1" si="15"/>
        <v>-44.860863803831478</v>
      </c>
      <c r="G103" s="1">
        <f t="shared" ca="1" si="13"/>
        <v>1.7650672311554336</v>
      </c>
      <c r="H103" s="1">
        <f t="shared" ca="1" si="9"/>
        <v>-0.28264866817933765</v>
      </c>
      <c r="I103" s="1">
        <f t="shared" ca="1" si="14"/>
        <v>-75.033282571058663</v>
      </c>
      <c r="K103" s="1">
        <f t="shared" ca="1" si="10"/>
        <v>9.8468536924721708E-3</v>
      </c>
    </row>
    <row r="104" spans="1:11" x14ac:dyDescent="0.25">
      <c r="A104">
        <v>1.9000000000000012</v>
      </c>
      <c r="B104">
        <v>0.80921941141846687</v>
      </c>
      <c r="C104">
        <v>3.9981211151369234</v>
      </c>
      <c r="E104" s="1">
        <f t="shared" si="11"/>
        <v>188</v>
      </c>
      <c r="F104" s="1">
        <f t="shared" ca="1" si="15"/>
        <v>-41.330729341520609</v>
      </c>
      <c r="G104" s="1">
        <f t="shared" ca="1" si="13"/>
        <v>1.1997698947967583</v>
      </c>
      <c r="H104" s="1">
        <f t="shared" ca="1" si="9"/>
        <v>-0.29497859658014469</v>
      </c>
      <c r="I104" s="1">
        <f t="shared" ca="1" si="14"/>
        <v>-75.026211828647732</v>
      </c>
      <c r="K104" s="1">
        <f t="shared" ca="1" si="10"/>
        <v>7.0707424109366151E-3</v>
      </c>
    </row>
    <row r="105" spans="1:11" x14ac:dyDescent="0.25">
      <c r="A105">
        <v>1.9200000000000013</v>
      </c>
      <c r="B105">
        <v>0.87655801090307728</v>
      </c>
      <c r="C105">
        <v>3.3669299742305192</v>
      </c>
      <c r="E105" s="1">
        <f t="shared" si="11"/>
        <v>190</v>
      </c>
      <c r="F105" s="1">
        <f t="shared" ca="1" si="15"/>
        <v>-38.931189551927091</v>
      </c>
      <c r="G105" s="1">
        <f t="shared" ca="1" si="13"/>
        <v>0.60981270163646895</v>
      </c>
      <c r="H105" s="1">
        <f t="shared" ca="1" si="9"/>
        <v>-0.29780791609644663</v>
      </c>
      <c r="I105" s="1">
        <f t="shared" ca="1" si="14"/>
        <v>-75.016437717643669</v>
      </c>
      <c r="K105" s="1">
        <f t="shared" ca="1" si="10"/>
        <v>9.7741110040700675E-3</v>
      </c>
    </row>
    <row r="106" spans="1:11" x14ac:dyDescent="0.25">
      <c r="A106">
        <v>1.9400000000000013</v>
      </c>
      <c r="B106">
        <v>0.93022230541759965</v>
      </c>
      <c r="C106">
        <v>2.6832147257261187</v>
      </c>
      <c r="E106" s="1">
        <f t="shared" si="11"/>
        <v>192</v>
      </c>
      <c r="F106" s="1">
        <f t="shared" ca="1" si="15"/>
        <v>-37.711564148654155</v>
      </c>
      <c r="G106" s="1">
        <f t="shared" ca="1" si="13"/>
        <v>1.4196869443575677E-2</v>
      </c>
      <c r="H106" s="1">
        <f t="shared" ca="1" si="9"/>
        <v>-0.29141867859666515</v>
      </c>
      <c r="I106" s="1">
        <f t="shared" ca="1" si="14"/>
        <v>-75.024154212189714</v>
      </c>
      <c r="K106" s="1">
        <f t="shared" ca="1" si="10"/>
        <v>-7.7164945460479828E-3</v>
      </c>
    </row>
    <row r="107" spans="1:11" x14ac:dyDescent="0.25">
      <c r="A107">
        <v>1.9600000000000013</v>
      </c>
      <c r="B107">
        <v>0.9693751319676075</v>
      </c>
      <c r="C107">
        <v>1.957641327500391</v>
      </c>
      <c r="E107" s="1">
        <f t="shared" si="11"/>
        <v>194</v>
      </c>
      <c r="F107" s="1">
        <f t="shared" ref="F107:F122" ca="1" si="16">F106+G106*dt</f>
        <v>-37.683170409767001</v>
      </c>
      <c r="G107" s="1">
        <f t="shared" ca="1" si="13"/>
        <v>-0.56864048774975462</v>
      </c>
      <c r="H107" s="1">
        <f t="shared" ca="1" si="9"/>
        <v>-0.27595066506717708</v>
      </c>
      <c r="I107" s="1">
        <f t="shared" ca="1" si="14"/>
        <v>-75.015251196801685</v>
      </c>
      <c r="K107" s="1">
        <f t="shared" ca="1" si="10"/>
        <v>8.9030153880270378E-3</v>
      </c>
    </row>
    <row r="108" spans="1:11" x14ac:dyDescent="0.25">
      <c r="A108">
        <v>1.9800000000000013</v>
      </c>
      <c r="B108">
        <v>0.99340570645892068</v>
      </c>
      <c r="C108">
        <v>1.2015287245656572</v>
      </c>
      <c r="E108" s="1">
        <f t="shared" si="11"/>
        <v>196</v>
      </c>
      <c r="F108" s="1">
        <f t="shared" ca="1" si="16"/>
        <v>-38.820451385266509</v>
      </c>
      <c r="G108" s="1">
        <f t="shared" ca="1" si="13"/>
        <v>-1.1205418178841087</v>
      </c>
      <c r="H108" s="1">
        <f t="shared" ca="1" si="9"/>
        <v>-0.25235849786990217</v>
      </c>
      <c r="I108" s="1">
        <f t="shared" ca="1" si="14"/>
        <v>-75.024171717214756</v>
      </c>
      <c r="K108" s="1">
        <f t="shared" ca="1" si="10"/>
        <v>-8.9205204130773427E-3</v>
      </c>
    </row>
    <row r="109" spans="1:11" x14ac:dyDescent="0.25">
      <c r="A109">
        <v>2.0000000000000013</v>
      </c>
      <c r="B109">
        <v>1.0019391519294747</v>
      </c>
      <c r="C109">
        <v>0.42667227352769899</v>
      </c>
      <c r="E109" s="1">
        <f t="shared" si="11"/>
        <v>198</v>
      </c>
      <c r="F109" s="1">
        <f t="shared" ca="1" si="16"/>
        <v>-41.061535021034729</v>
      </c>
      <c r="G109" s="1">
        <f t="shared" ca="1" si="13"/>
        <v>-1.625258813623913</v>
      </c>
      <c r="H109" s="1">
        <f t="shared" ca="1" si="9"/>
        <v>-0.22133322502379937</v>
      </c>
      <c r="I109" s="1">
        <f t="shared" ca="1" si="14"/>
        <v>-75.021812101665532</v>
      </c>
      <c r="K109" s="1">
        <f t="shared" ca="1" si="10"/>
        <v>2.3596155492309093E-3</v>
      </c>
    </row>
    <row r="110" spans="1:11" x14ac:dyDescent="0.25">
      <c r="E110" s="1">
        <f t="shared" si="11"/>
        <v>200</v>
      </c>
      <c r="F110" s="1">
        <f t="shared" ca="1" si="16"/>
        <v>-44.312052648282553</v>
      </c>
      <c r="G110" s="1">
        <f t="shared" ca="1" si="13"/>
        <v>-2.067925263671512</v>
      </c>
      <c r="H110" s="1">
        <f t="shared" ca="1" si="9"/>
        <v>-0.18407590580671968</v>
      </c>
      <c r="I110" s="1">
        <f t="shared" ca="1" si="14"/>
        <v>-75.016706862784631</v>
      </c>
      <c r="J110" t="s">
        <v>14</v>
      </c>
      <c r="K110" s="1">
        <f t="shared" ca="1" si="10"/>
        <v>5.1052388809071239E-3</v>
      </c>
    </row>
    <row r="111" spans="1:11" x14ac:dyDescent="0.25">
      <c r="E111" s="1">
        <f t="shared" si="11"/>
        <v>202</v>
      </c>
      <c r="F111" s="1">
        <f t="shared" ca="1" si="16"/>
        <v>-48.447903175625576</v>
      </c>
      <c r="G111" s="1">
        <f t="shared" ca="1" si="13"/>
        <v>-2.4360770752849512</v>
      </c>
      <c r="H111" s="1">
        <f t="shared" ca="1" si="9"/>
        <v>-0.14193569667918882</v>
      </c>
      <c r="I111" s="1">
        <f t="shared" ca="1" si="14"/>
        <v>-75.014898341885257</v>
      </c>
      <c r="K111" s="1">
        <f t="shared" ca="1" si="10"/>
        <v>1.8085208993776237E-3</v>
      </c>
    </row>
    <row r="112" spans="1:11" x14ac:dyDescent="0.25">
      <c r="E112" s="1">
        <f t="shared" si="11"/>
        <v>204</v>
      </c>
      <c r="F112" s="1">
        <f t="shared" ca="1" si="16"/>
        <v>-53.320057326195482</v>
      </c>
      <c r="G112" s="1">
        <f t="shared" ca="1" si="13"/>
        <v>-2.7199484686433291</v>
      </c>
      <c r="H112" s="1">
        <f t="shared" ca="1" si="9"/>
        <v>-9.6394673492366745E-2</v>
      </c>
      <c r="I112" s="1">
        <f t="shared" ca="1" si="14"/>
        <v>-75.023812768760607</v>
      </c>
      <c r="K112" s="1">
        <f t="shared" ca="1" si="10"/>
        <v>-8.9144268753512165E-3</v>
      </c>
    </row>
    <row r="113" spans="5:11" x14ac:dyDescent="0.25">
      <c r="E113" s="1">
        <f t="shared" si="11"/>
        <v>206</v>
      </c>
      <c r="F113" s="1">
        <f t="shared" ca="1" si="16"/>
        <v>-58.759954263482143</v>
      </c>
      <c r="G113" s="1">
        <f t="shared" ca="1" si="13"/>
        <v>-2.9127378156280628</v>
      </c>
      <c r="H113" s="1">
        <f t="shared" ca="1" si="9"/>
        <v>-4.8727671014780163E-2</v>
      </c>
      <c r="I113" s="1">
        <f t="shared" ca="1" si="14"/>
        <v>-75.014959965227305</v>
      </c>
      <c r="K113" s="1">
        <f t="shared" ca="1" si="10"/>
        <v>8.852803533300143E-3</v>
      </c>
    </row>
    <row r="114" spans="5:11" x14ac:dyDescent="0.25">
      <c r="E114" s="1">
        <f t="shared" si="11"/>
        <v>208</v>
      </c>
      <c r="F114" s="1">
        <f t="shared" ca="1" si="16"/>
        <v>-64.585429894738269</v>
      </c>
      <c r="G114" s="1">
        <f t="shared" ca="1" si="13"/>
        <v>-3.0101931576576231</v>
      </c>
      <c r="H114" s="1">
        <f t="shared" ca="1" si="9"/>
        <v>-6.3191582149180192E-4</v>
      </c>
      <c r="I114" s="1">
        <f t="shared" ca="1" si="14"/>
        <v>-75.009159695599308</v>
      </c>
      <c r="K114" s="1">
        <f t="shared" ca="1" si="10"/>
        <v>5.8002696280016223E-3</v>
      </c>
    </row>
    <row r="115" spans="5:11" x14ac:dyDescent="0.25">
      <c r="E115" s="1">
        <f t="shared" si="11"/>
        <v>210</v>
      </c>
      <c r="F115" s="1">
        <f t="shared" ca="1" si="16"/>
        <v>-70.605816210053518</v>
      </c>
      <c r="G115" s="1">
        <f t="shared" ca="1" si="13"/>
        <v>-3.0114569893006067</v>
      </c>
      <c r="H115" s="1">
        <f t="shared" ca="1" si="9"/>
        <v>4.6374099968624301E-2</v>
      </c>
      <c r="I115" s="1">
        <f t="shared" ca="1" si="14"/>
        <v>-75.007476126031975</v>
      </c>
      <c r="K115" s="1">
        <f t="shared" ca="1" si="10"/>
        <v>1.6835695673292662E-3</v>
      </c>
    </row>
    <row r="116" spans="5:11" x14ac:dyDescent="0.25">
      <c r="E116" s="1">
        <f t="shared" si="11"/>
        <v>212</v>
      </c>
      <c r="F116" s="1">
        <f t="shared" ca="1" si="16"/>
        <v>-76.628730188654728</v>
      </c>
      <c r="G116" s="1">
        <f t="shared" ca="1" si="13"/>
        <v>-2.9187087893633579</v>
      </c>
      <c r="H116" s="1">
        <f t="shared" ca="1" si="9"/>
        <v>9.0818346039597556E-2</v>
      </c>
      <c r="I116" s="1">
        <f t="shared" ca="1" si="14"/>
        <v>-75.013736536775298</v>
      </c>
      <c r="K116" s="1">
        <f t="shared" ca="1" si="10"/>
        <v>-6.2604107433288014E-3</v>
      </c>
    </row>
    <row r="117" spans="5:11" x14ac:dyDescent="0.25">
      <c r="E117" s="1">
        <f t="shared" si="11"/>
        <v>214</v>
      </c>
      <c r="F117" s="1">
        <f t="shared" ca="1" si="16"/>
        <v>-82.466147767381443</v>
      </c>
      <c r="G117" s="1">
        <f t="shared" ca="1" si="13"/>
        <v>-2.7370720972841629</v>
      </c>
      <c r="H117" s="1">
        <f t="shared" ca="1" si="9"/>
        <v>0.13147079159632663</v>
      </c>
      <c r="I117" s="1">
        <f t="shared" ca="1" si="14"/>
        <v>-75.015217076469767</v>
      </c>
      <c r="K117" s="1">
        <f t="shared" ca="1" si="10"/>
        <v>-1.4805396944652194E-3</v>
      </c>
    </row>
    <row r="118" spans="5:11" x14ac:dyDescent="0.25">
      <c r="E118" s="1">
        <f t="shared" si="11"/>
        <v>216</v>
      </c>
      <c r="F118" s="1">
        <f t="shared" ca="1" si="16"/>
        <v>-87.940291961949768</v>
      </c>
      <c r="G118" s="1">
        <f t="shared" ca="1" si="13"/>
        <v>-2.4741305140915095</v>
      </c>
      <c r="H118" s="1">
        <f t="shared" ca="1" si="9"/>
        <v>0.16719713136936332</v>
      </c>
      <c r="I118" s="1">
        <f t="shared" ca="1" si="14"/>
        <v>-75.005620988653504</v>
      </c>
      <c r="K118" s="1">
        <f t="shared" ca="1" si="10"/>
        <v>9.596087816267522E-3</v>
      </c>
    </row>
    <row r="119" spans="5:11" x14ac:dyDescent="0.25">
      <c r="E119" s="1">
        <f t="shared" si="11"/>
        <v>218</v>
      </c>
      <c r="F119" s="1">
        <f t="shared" ca="1" si="16"/>
        <v>-92.88855299013278</v>
      </c>
      <c r="G119" s="1">
        <f t="shared" ca="1" si="13"/>
        <v>-2.1397362513527831</v>
      </c>
      <c r="H119" s="1">
        <f t="shared" ca="1" si="9"/>
        <v>0.19681515652151785</v>
      </c>
      <c r="I119" s="1">
        <f t="shared" ca="1" si="14"/>
        <v>-75.007754915099028</v>
      </c>
      <c r="K119" s="1">
        <f t="shared" ca="1" si="10"/>
        <v>-2.1339264455191411E-3</v>
      </c>
    </row>
    <row r="120" spans="5:11" x14ac:dyDescent="0.25">
      <c r="E120" s="1">
        <f t="shared" si="11"/>
        <v>220</v>
      </c>
      <c r="F120" s="1">
        <f t="shared" ca="1" si="16"/>
        <v>-97.168025492838353</v>
      </c>
      <c r="G120" s="1">
        <f t="shared" ca="1" si="13"/>
        <v>-1.7461059383097475</v>
      </c>
      <c r="H120" s="1">
        <f t="shared" ca="1" si="9"/>
        <v>0.21960578101210651</v>
      </c>
      <c r="I120" s="1">
        <f t="shared" ca="1" si="14"/>
        <v>-75.012879099837676</v>
      </c>
      <c r="K120" s="1">
        <f t="shared" ca="1" si="10"/>
        <v>-5.1241847386542692E-3</v>
      </c>
    </row>
    <row r="121" spans="5:11" x14ac:dyDescent="0.25">
      <c r="E121" s="1">
        <f t="shared" si="11"/>
        <v>222</v>
      </c>
      <c r="F121" s="1">
        <f t="shared" ca="1" si="16"/>
        <v>-100.66023736945785</v>
      </c>
      <c r="G121" s="1">
        <f t="shared" ca="1" si="13"/>
        <v>2.0953271259716968</v>
      </c>
      <c r="H121" s="1">
        <f t="shared" ca="1" si="9"/>
        <v>0.1439709793559435</v>
      </c>
      <c r="I121" s="1">
        <f t="shared" ca="1" si="14"/>
        <v>-75.003090403818746</v>
      </c>
      <c r="K121" s="1">
        <f t="shared" ca="1" si="10"/>
        <v>9.7886960189270539E-3</v>
      </c>
    </row>
    <row r="122" spans="5:11" x14ac:dyDescent="0.25">
      <c r="E122" s="1">
        <f t="shared" si="11"/>
        <v>224</v>
      </c>
      <c r="F122" s="1">
        <f t="shared" ca="1" si="16"/>
        <v>-96.469583117514446</v>
      </c>
      <c r="G122" s="1">
        <f t="shared" ca="1" si="13"/>
        <v>2.383269084683584</v>
      </c>
      <c r="H122" s="1">
        <f t="shared" ca="1" si="9"/>
        <v>0.10358516205774623</v>
      </c>
      <c r="I122" s="1">
        <f t="shared" ca="1" si="14"/>
        <v>-75.000765998634151</v>
      </c>
      <c r="K122" s="1">
        <f t="shared" ca="1" si="10"/>
        <v>2.3244051845900705E-3</v>
      </c>
    </row>
    <row r="123" spans="5:11" x14ac:dyDescent="0.25">
      <c r="E123" s="1">
        <f t="shared" si="11"/>
        <v>226</v>
      </c>
      <c r="F123" s="1">
        <f t="shared" ref="F123:F138" ca="1" si="17">F122+G122*dt</f>
        <v>-91.70304494814728</v>
      </c>
      <c r="G123" s="1">
        <f t="shared" ca="1" si="13"/>
        <v>2.5904394087990763</v>
      </c>
      <c r="H123" s="1">
        <f t="shared" ca="1" si="9"/>
        <v>6.0922456532981228E-2</v>
      </c>
      <c r="I123" s="1">
        <f t="shared" ca="1" si="14"/>
        <v>-74.991989475224656</v>
      </c>
      <c r="K123" s="1">
        <f t="shared" ca="1" si="10"/>
        <v>8.776523409489834E-3</v>
      </c>
    </row>
    <row r="124" spans="5:11" x14ac:dyDescent="0.25">
      <c r="E124" s="1">
        <f t="shared" si="11"/>
        <v>228</v>
      </c>
      <c r="F124" s="1">
        <f t="shared" ca="1" si="17"/>
        <v>-86.522166130549124</v>
      </c>
      <c r="G124" s="1">
        <f t="shared" ca="1" si="13"/>
        <v>2.712284321865039</v>
      </c>
      <c r="H124" s="1">
        <f t="shared" ca="1" si="9"/>
        <v>1.7295716443644513E-2</v>
      </c>
      <c r="I124" s="1">
        <f t="shared" ca="1" si="14"/>
        <v>-74.985635839571231</v>
      </c>
      <c r="K124" s="1">
        <f t="shared" ca="1" si="10"/>
        <v>6.3536356534287727E-3</v>
      </c>
    </row>
    <row r="125" spans="5:11" x14ac:dyDescent="0.25">
      <c r="E125" s="1">
        <f t="shared" si="11"/>
        <v>230</v>
      </c>
      <c r="F125" s="1">
        <f t="shared" ca="1" si="17"/>
        <v>-81.097597486819041</v>
      </c>
      <c r="G125" s="1">
        <f t="shared" ca="1" si="13"/>
        <v>2.7468757547523279</v>
      </c>
      <c r="H125" s="1">
        <f t="shared" ca="1" si="9"/>
        <v>-2.5903076257669855E-2</v>
      </c>
      <c r="I125" s="1">
        <f t="shared" ca="1" si="14"/>
        <v>-74.980521336858459</v>
      </c>
      <c r="K125" s="1">
        <f t="shared" ca="1" si="10"/>
        <v>5.1145027127742137E-3</v>
      </c>
    </row>
    <row r="126" spans="5:11" x14ac:dyDescent="0.25">
      <c r="E126" s="1">
        <f t="shared" si="11"/>
        <v>232</v>
      </c>
      <c r="F126" s="1">
        <f t="shared" ca="1" si="17"/>
        <v>-75.603845977314379</v>
      </c>
      <c r="G126" s="1">
        <f t="shared" ca="1" si="13"/>
        <v>2.6950696022369884</v>
      </c>
      <c r="H126" s="1">
        <f t="shared" ca="1" si="9"/>
        <v>-6.7433394055635809E-2</v>
      </c>
      <c r="I126" s="1">
        <f t="shared" ca="1" si="14"/>
        <v>-74.989170171632907</v>
      </c>
      <c r="K126" s="1">
        <f t="shared" ca="1" si="10"/>
        <v>-8.6488347744473702E-3</v>
      </c>
    </row>
    <row r="127" spans="5:11" x14ac:dyDescent="0.25">
      <c r="E127" s="1">
        <f t="shared" si="11"/>
        <v>234</v>
      </c>
      <c r="F127" s="1">
        <f t="shared" ca="1" si="17"/>
        <v>-70.213706772840396</v>
      </c>
      <c r="G127" s="1">
        <f t="shared" ca="1" si="13"/>
        <v>2.5602028141257169</v>
      </c>
      <c r="H127" s="1">
        <f t="shared" ca="1" si="9"/>
        <v>-0.10592996355786077</v>
      </c>
      <c r="I127" s="1">
        <f t="shared" ca="1" si="14"/>
        <v>-74.997877047108545</v>
      </c>
      <c r="K127" s="1">
        <f t="shared" ca="1" si="10"/>
        <v>-8.70687547563701E-3</v>
      </c>
    </row>
    <row r="128" spans="5:11" x14ac:dyDescent="0.25">
      <c r="E128" s="1">
        <f t="shared" si="11"/>
        <v>236</v>
      </c>
      <c r="F128" s="1">
        <f t="shared" ca="1" si="17"/>
        <v>-65.093301144588963</v>
      </c>
      <c r="G128" s="1">
        <f t="shared" ca="1" si="13"/>
        <v>2.3483428870099954</v>
      </c>
      <c r="H128" s="1">
        <f t="shared" ca="1" si="9"/>
        <v>-0.1402516169797044</v>
      </c>
      <c r="I128" s="1">
        <f t="shared" ca="1" si="14"/>
        <v>-75.005612376362876</v>
      </c>
      <c r="K128" s="1">
        <f t="shared" ca="1" si="10"/>
        <v>-7.7353292543273812E-3</v>
      </c>
    </row>
    <row r="129" spans="5:11" x14ac:dyDescent="0.25">
      <c r="E129" s="1">
        <f t="shared" si="11"/>
        <v>238</v>
      </c>
      <c r="F129" s="1">
        <f t="shared" ca="1" si="17"/>
        <v>-60.396615370568973</v>
      </c>
      <c r="G129" s="1">
        <f t="shared" ca="1" si="13"/>
        <v>2.0678396530505867</v>
      </c>
      <c r="H129" s="1">
        <f t="shared" ca="1" si="9"/>
        <v>-0.16943703800679205</v>
      </c>
      <c r="I129" s="1">
        <f t="shared" ca="1" si="14"/>
        <v>-75.014427589163375</v>
      </c>
      <c r="K129" s="1">
        <f t="shared" ca="1" si="10"/>
        <v>-8.8152128005029411E-3</v>
      </c>
    </row>
    <row r="130" spans="5:11" x14ac:dyDescent="0.25">
      <c r="E130" s="1">
        <f t="shared" si="11"/>
        <v>240</v>
      </c>
      <c r="F130" s="1">
        <f t="shared" ca="1" si="17"/>
        <v>-56.260936064467799</v>
      </c>
      <c r="G130" s="1">
        <f t="shared" ca="1" si="13"/>
        <v>1.7289655770370027</v>
      </c>
      <c r="H130" s="1">
        <f t="shared" ca="1" si="9"/>
        <v>-0.19265851700310102</v>
      </c>
      <c r="I130" s="1">
        <f t="shared" ca="1" si="14"/>
        <v>-75.020197543763871</v>
      </c>
      <c r="K130" s="1">
        <f t="shared" ca="1" si="10"/>
        <v>-5.769954600496909E-3</v>
      </c>
    </row>
    <row r="131" spans="5:11" x14ac:dyDescent="0.25">
      <c r="E131" s="1">
        <f t="shared" si="11"/>
        <v>242</v>
      </c>
      <c r="F131" s="1">
        <f t="shared" ca="1" si="17"/>
        <v>-52.803004910393796</v>
      </c>
      <c r="G131" s="1">
        <f t="shared" ca="1" si="13"/>
        <v>1.3436485430308007</v>
      </c>
      <c r="H131" s="1">
        <f t="shared" ca="1" si="9"/>
        <v>-0.20930172815036716</v>
      </c>
      <c r="I131" s="1">
        <f t="shared" ca="1" si="14"/>
        <v>-75.019921217719656</v>
      </c>
      <c r="K131" s="1">
        <f t="shared" ca="1" si="10"/>
        <v>2.7632604421494954E-4</v>
      </c>
    </row>
    <row r="132" spans="5:11" x14ac:dyDescent="0.25">
      <c r="E132" s="1">
        <f t="shared" si="11"/>
        <v>244</v>
      </c>
      <c r="F132" s="1">
        <f t="shared" ca="1" si="17"/>
        <v>-50.115707824332191</v>
      </c>
      <c r="G132" s="1">
        <f t="shared" ca="1" si="13"/>
        <v>0.92504508673006636</v>
      </c>
      <c r="H132" s="1">
        <f t="shared" ca="1" si="9"/>
        <v>-0.21902968053212307</v>
      </c>
      <c r="I132" s="1">
        <f t="shared" ca="1" si="14"/>
        <v>-75.01807605609595</v>
      </c>
      <c r="K132" s="1">
        <f t="shared" ca="1" si="10"/>
        <v>1.8451616237036483E-3</v>
      </c>
    </row>
    <row r="133" spans="5:11" x14ac:dyDescent="0.25">
      <c r="E133" s="1">
        <f t="shared" si="11"/>
        <v>246</v>
      </c>
      <c r="F133" s="1">
        <f t="shared" ca="1" si="17"/>
        <v>-48.265617650872059</v>
      </c>
      <c r="G133" s="1">
        <f t="shared" ca="1" si="13"/>
        <v>0.48698572566582021</v>
      </c>
      <c r="H133" s="1">
        <f t="shared" ca="1" si="9"/>
        <v>-0.22173077495548718</v>
      </c>
      <c r="I133" s="1">
        <f t="shared" ca="1" si="14"/>
        <v>-75.019407074928878</v>
      </c>
      <c r="K133" s="1">
        <f t="shared" ca="1" si="10"/>
        <v>-1.3310188329330619E-3</v>
      </c>
    </row>
    <row r="134" spans="5:11" x14ac:dyDescent="0.25">
      <c r="E134" s="1">
        <f t="shared" si="11"/>
        <v>248</v>
      </c>
      <c r="F134" s="1">
        <f t="shared" ca="1" si="17"/>
        <v>-47.291646199540416</v>
      </c>
      <c r="G134" s="1">
        <f t="shared" ca="1" si="13"/>
        <v>4.3524175754845851E-2</v>
      </c>
      <c r="H134" s="1">
        <f t="shared" ca="1" si="9"/>
        <v>-0.2173816433178089</v>
      </c>
      <c r="I134" s="1">
        <f t="shared" ca="1" si="14"/>
        <v>-75.011543046665935</v>
      </c>
      <c r="K134" s="1">
        <f t="shared" ca="1" si="10"/>
        <v>7.8640282629400555E-3</v>
      </c>
    </row>
    <row r="135" spans="5:11" x14ac:dyDescent="0.25">
      <c r="E135" s="1">
        <f t="shared" si="11"/>
        <v>250</v>
      </c>
      <c r="F135" s="1">
        <f t="shared" ca="1" si="17"/>
        <v>-47.204597848030723</v>
      </c>
      <c r="G135" s="1">
        <f t="shared" ca="1" si="13"/>
        <v>-0.39123911088077196</v>
      </c>
      <c r="H135" s="1">
        <f t="shared" ca="1" si="9"/>
        <v>-0.20644441649631323</v>
      </c>
      <c r="I135" s="1">
        <f t="shared" ca="1" si="14"/>
        <v>-75.016088190071486</v>
      </c>
      <c r="J135" t="s">
        <v>15</v>
      </c>
      <c r="K135" s="1">
        <f t="shared" ca="1" si="10"/>
        <v>-4.5451434055574988E-3</v>
      </c>
    </row>
    <row r="136" spans="5:11" x14ac:dyDescent="0.25">
      <c r="E136" s="1">
        <f t="shared" si="11"/>
        <v>252</v>
      </c>
      <c r="F136" s="1">
        <f t="shared" ca="1" si="17"/>
        <v>-47.987076069792266</v>
      </c>
      <c r="G136" s="1">
        <f t="shared" ca="1" si="13"/>
        <v>-0.80412794387339837</v>
      </c>
      <c r="H136" s="1">
        <f t="shared" ca="1" si="9"/>
        <v>-0.18930884500203546</v>
      </c>
      <c r="I136" s="1">
        <f t="shared" ca="1" si="14"/>
        <v>-75.020341954131055</v>
      </c>
      <c r="K136" s="1">
        <f t="shared" ca="1" si="10"/>
        <v>-4.2537640595651325E-3</v>
      </c>
    </row>
    <row r="137" spans="5:11" x14ac:dyDescent="0.25">
      <c r="E137" s="1">
        <f t="shared" si="11"/>
        <v>254</v>
      </c>
      <c r="F137" s="1">
        <f t="shared" ca="1" si="17"/>
        <v>-49.595331957539059</v>
      </c>
      <c r="G137" s="1">
        <f t="shared" ca="1" si="13"/>
        <v>-1.1827456338774693</v>
      </c>
      <c r="H137" s="1">
        <f t="shared" ca="1" si="9"/>
        <v>-0.16662578710481901</v>
      </c>
      <c r="I137" s="1">
        <f t="shared" ca="1" si="14"/>
        <v>-75.021405046351262</v>
      </c>
      <c r="K137" s="1">
        <f t="shared" ca="1" si="10"/>
        <v>-1.0630922202060277E-3</v>
      </c>
    </row>
    <row r="138" spans="5:11" x14ac:dyDescent="0.25">
      <c r="E138" s="1">
        <f t="shared" si="11"/>
        <v>256</v>
      </c>
      <c r="F138" s="1">
        <f t="shared" ca="1" si="17"/>
        <v>-51.960823225294</v>
      </c>
      <c r="G138" s="1">
        <f t="shared" ca="1" si="13"/>
        <v>-1.5159972080871074</v>
      </c>
      <c r="H138" s="1">
        <f t="shared" ref="H138:H201" ca="1" si="18">-k*(F138-I138)/m-(b+bb)*G138</f>
        <v>-0.13930274657204794</v>
      </c>
      <c r="I138" s="1">
        <f t="shared" ca="1" si="14"/>
        <v>-75.028960628984052</v>
      </c>
      <c r="K138" s="1">
        <f t="shared" ref="K138:K201" ca="1" si="19">NoiseAmp*(0.5-RAND())</f>
        <v>-7.5555826327873988E-3</v>
      </c>
    </row>
    <row r="139" spans="5:11" x14ac:dyDescent="0.25">
      <c r="E139" s="1">
        <f t="shared" ref="E139:E202" si="20">E138+dt</f>
        <v>258</v>
      </c>
      <c r="F139" s="1">
        <f t="shared" ref="F139:F154" ca="1" si="21">F138+G138*dt</f>
        <v>-54.992817641468214</v>
      </c>
      <c r="G139" s="1">
        <f t="shared" ref="G139:G202" ca="1" si="22">IF(ABS(F139)&gt;100,-1.2*G138,G138+H138*dt)</f>
        <v>-1.7946027012312031</v>
      </c>
      <c r="H139" s="1">
        <f t="shared" ca="1" si="18"/>
        <v>-0.10810995230403064</v>
      </c>
      <c r="I139" s="1">
        <f t="shared" ca="1" si="14"/>
        <v>-75.019138756471662</v>
      </c>
      <c r="K139" s="1">
        <f t="shared" ca="1" si="19"/>
        <v>9.8218725123924693E-3</v>
      </c>
    </row>
    <row r="140" spans="5:11" x14ac:dyDescent="0.25">
      <c r="E140" s="1">
        <f t="shared" si="20"/>
        <v>260</v>
      </c>
      <c r="F140" s="1">
        <f t="shared" ca="1" si="21"/>
        <v>-58.582023043930619</v>
      </c>
      <c r="G140" s="1">
        <f t="shared" ca="1" si="22"/>
        <v>-2.0108226058392642</v>
      </c>
      <c r="H140" s="1">
        <f t="shared" ca="1" si="18"/>
        <v>-7.4373517896686725E-2</v>
      </c>
      <c r="I140" s="1">
        <f t="shared" ref="I140:I203" ca="1" si="23">I139+K140</f>
        <v>-75.026069676389469</v>
      </c>
      <c r="K140" s="1">
        <f t="shared" ca="1" si="19"/>
        <v>-6.9309199178124682E-3</v>
      </c>
    </row>
    <row r="141" spans="5:11" x14ac:dyDescent="0.25">
      <c r="E141" s="1">
        <f t="shared" si="20"/>
        <v>262</v>
      </c>
      <c r="F141" s="1">
        <f t="shared" ca="1" si="21"/>
        <v>-62.603668255609151</v>
      </c>
      <c r="G141" s="1">
        <f t="shared" ca="1" si="22"/>
        <v>-2.1595696416326375</v>
      </c>
      <c r="H141" s="1">
        <f t="shared" ca="1" si="18"/>
        <v>-3.899645496567402E-2</v>
      </c>
      <c r="I141" s="1">
        <f t="shared" ca="1" si="23"/>
        <v>-75.023273558356422</v>
      </c>
      <c r="K141" s="1">
        <f t="shared" ca="1" si="19"/>
        <v>2.7961180330483624E-3</v>
      </c>
    </row>
    <row r="142" spans="5:11" x14ac:dyDescent="0.25">
      <c r="E142" s="1">
        <f t="shared" si="20"/>
        <v>264</v>
      </c>
      <c r="F142" s="1">
        <f t="shared" ca="1" si="21"/>
        <v>-66.922807538874423</v>
      </c>
      <c r="G142" s="1">
        <f t="shared" ca="1" si="22"/>
        <v>-2.2375625515639856</v>
      </c>
      <c r="H142" s="1">
        <f t="shared" ca="1" si="18"/>
        <v>-3.2381046533617869E-3</v>
      </c>
      <c r="I142" s="1">
        <f t="shared" ca="1" si="23"/>
        <v>-75.025984594679116</v>
      </c>
      <c r="K142" s="1">
        <f t="shared" ca="1" si="19"/>
        <v>-2.7110363226943023E-3</v>
      </c>
    </row>
    <row r="143" spans="5:11" x14ac:dyDescent="0.25">
      <c r="E143" s="1">
        <f t="shared" si="20"/>
        <v>266</v>
      </c>
      <c r="F143" s="1">
        <f t="shared" ca="1" si="21"/>
        <v>-71.397932642002388</v>
      </c>
      <c r="G143" s="1">
        <f t="shared" ca="1" si="22"/>
        <v>-2.2440387608707093</v>
      </c>
      <c r="H143" s="1">
        <f t="shared" ca="1" si="18"/>
        <v>3.1817190771583313E-2</v>
      </c>
      <c r="I143" s="1">
        <f t="shared" ca="1" si="23"/>
        <v>-75.029092644534657</v>
      </c>
      <c r="K143" s="1">
        <f t="shared" ca="1" si="19"/>
        <v>-3.1080498555450852E-3</v>
      </c>
    </row>
    <row r="144" spans="5:11" x14ac:dyDescent="0.25">
      <c r="E144" s="1">
        <f t="shared" si="20"/>
        <v>268</v>
      </c>
      <c r="F144" s="1">
        <f t="shared" ca="1" si="21"/>
        <v>-75.886010163743805</v>
      </c>
      <c r="G144" s="1">
        <f t="shared" ca="1" si="22"/>
        <v>-2.1804043793275425</v>
      </c>
      <c r="H144" s="1">
        <f t="shared" ca="1" si="18"/>
        <v>6.5164440366079504E-2</v>
      </c>
      <c r="I144" s="1">
        <f t="shared" ca="1" si="23"/>
        <v>-75.023240548346195</v>
      </c>
      <c r="K144" s="1">
        <f t="shared" ca="1" si="19"/>
        <v>5.852096188459513E-3</v>
      </c>
    </row>
    <row r="145" spans="5:11" x14ac:dyDescent="0.25">
      <c r="E145" s="1">
        <f t="shared" si="20"/>
        <v>270</v>
      </c>
      <c r="F145" s="1">
        <f t="shared" ca="1" si="21"/>
        <v>-80.246818922398887</v>
      </c>
      <c r="G145" s="1">
        <f t="shared" ca="1" si="22"/>
        <v>-2.0500754985953833</v>
      </c>
      <c r="H145" s="1">
        <f t="shared" ca="1" si="18"/>
        <v>9.5696577373610231E-2</v>
      </c>
      <c r="I145" s="1">
        <f t="shared" ca="1" si="23"/>
        <v>-75.021876100443251</v>
      </c>
      <c r="K145" s="1">
        <f t="shared" ca="1" si="19"/>
        <v>1.364447902944228E-3</v>
      </c>
    </row>
    <row r="146" spans="5:11" x14ac:dyDescent="0.25">
      <c r="E146" s="1">
        <f t="shared" si="20"/>
        <v>272</v>
      </c>
      <c r="F146" s="1">
        <f t="shared" ca="1" si="21"/>
        <v>-84.346969919589654</v>
      </c>
      <c r="G146" s="1">
        <f t="shared" ca="1" si="22"/>
        <v>-1.8586823438481628</v>
      </c>
      <c r="H146" s="1">
        <f t="shared" ca="1" si="18"/>
        <v>0.12262528998186659</v>
      </c>
      <c r="I146" s="1">
        <f t="shared" ca="1" si="23"/>
        <v>-75.012020795649164</v>
      </c>
      <c r="K146" s="1">
        <f t="shared" ca="1" si="19"/>
        <v>9.8553047940919663E-3</v>
      </c>
    </row>
    <row r="147" spans="5:11" x14ac:dyDescent="0.25">
      <c r="E147" s="1">
        <f t="shared" si="20"/>
        <v>274</v>
      </c>
      <c r="F147" s="1">
        <f t="shared" ca="1" si="21"/>
        <v>-88.064334607285986</v>
      </c>
      <c r="G147" s="1">
        <f t="shared" ca="1" si="22"/>
        <v>-1.6134317638844295</v>
      </c>
      <c r="H147" s="1">
        <f t="shared" ca="1" si="18"/>
        <v>0.14508352981242695</v>
      </c>
      <c r="I147" s="1">
        <f t="shared" ca="1" si="23"/>
        <v>-75.007468127757235</v>
      </c>
      <c r="K147" s="1">
        <f t="shared" ca="1" si="19"/>
        <v>4.5526678919321807E-3</v>
      </c>
    </row>
    <row r="148" spans="5:11" x14ac:dyDescent="0.25">
      <c r="E148" s="1">
        <f t="shared" si="20"/>
        <v>276</v>
      </c>
      <c r="F148" s="1">
        <f t="shared" ca="1" si="21"/>
        <v>-91.291198135054842</v>
      </c>
      <c r="G148" s="1">
        <f t="shared" ca="1" si="22"/>
        <v>-1.3232647042595755</v>
      </c>
      <c r="H148" s="1">
        <f t="shared" ca="1" si="18"/>
        <v>0.1625153951124253</v>
      </c>
      <c r="I148" s="1">
        <f t="shared" ca="1" si="23"/>
        <v>-75.002492873738348</v>
      </c>
      <c r="K148" s="1">
        <f t="shared" ca="1" si="19"/>
        <v>4.9752540188916705E-3</v>
      </c>
    </row>
    <row r="149" spans="5:11" x14ac:dyDescent="0.25">
      <c r="E149" s="1">
        <f t="shared" si="20"/>
        <v>278</v>
      </c>
      <c r="F149" s="1">
        <f t="shared" ca="1" si="21"/>
        <v>-93.937727543573999</v>
      </c>
      <c r="G149" s="1">
        <f t="shared" ca="1" si="22"/>
        <v>-0.99823391403472495</v>
      </c>
      <c r="H149" s="1">
        <f t="shared" ca="1" si="18"/>
        <v>0.17437326480807686</v>
      </c>
      <c r="I149" s="1">
        <f t="shared" ca="1" si="23"/>
        <v>-75.012010118965506</v>
      </c>
      <c r="K149" s="1">
        <f t="shared" ca="1" si="19"/>
        <v>-9.5172452271556161E-3</v>
      </c>
    </row>
    <row r="150" spans="5:11" x14ac:dyDescent="0.25">
      <c r="E150" s="1">
        <f t="shared" si="20"/>
        <v>280</v>
      </c>
      <c r="F150" s="1">
        <f t="shared" ca="1" si="21"/>
        <v>-95.934195371643455</v>
      </c>
      <c r="G150" s="1">
        <f t="shared" ca="1" si="22"/>
        <v>-0.64948738441857123</v>
      </c>
      <c r="H150" s="1">
        <f t="shared" ca="1" si="18"/>
        <v>0.18058348278826289</v>
      </c>
      <c r="I150" s="1">
        <f t="shared" ca="1" si="23"/>
        <v>-75.014038847817147</v>
      </c>
      <c r="K150" s="1">
        <f t="shared" ca="1" si="19"/>
        <v>-2.0287288516344384E-3</v>
      </c>
    </row>
    <row r="151" spans="5:11" x14ac:dyDescent="0.25">
      <c r="E151" s="1">
        <f t="shared" si="20"/>
        <v>282</v>
      </c>
      <c r="F151" s="1">
        <f t="shared" ca="1" si="21"/>
        <v>-97.233170140480595</v>
      </c>
      <c r="G151" s="1">
        <f t="shared" ca="1" si="22"/>
        <v>-0.28832041884204546</v>
      </c>
      <c r="H151" s="1">
        <f t="shared" ca="1" si="18"/>
        <v>0.1810564252750573</v>
      </c>
      <c r="I151" s="1">
        <f t="shared" ca="1" si="23"/>
        <v>-75.011447313545915</v>
      </c>
      <c r="K151" s="1">
        <f t="shared" ca="1" si="19"/>
        <v>2.5915342712362088E-3</v>
      </c>
    </row>
    <row r="152" spans="5:11" x14ac:dyDescent="0.25">
      <c r="E152" s="1">
        <f t="shared" si="20"/>
        <v>284</v>
      </c>
      <c r="F152" s="1">
        <f t="shared" ca="1" si="21"/>
        <v>-97.809810978164691</v>
      </c>
      <c r="G152" s="1">
        <f t="shared" ca="1" si="22"/>
        <v>7.3792431708069151E-2</v>
      </c>
      <c r="H152" s="1">
        <f t="shared" ca="1" si="18"/>
        <v>0.17586844756900424</v>
      </c>
      <c r="I152" s="1">
        <f t="shared" ca="1" si="23"/>
        <v>-75.009030883449242</v>
      </c>
      <c r="K152" s="1">
        <f t="shared" ca="1" si="19"/>
        <v>2.4164300966757679E-3</v>
      </c>
    </row>
    <row r="153" spans="5:11" x14ac:dyDescent="0.25">
      <c r="E153" s="1">
        <f t="shared" si="20"/>
        <v>286</v>
      </c>
      <c r="F153" s="1">
        <f t="shared" ca="1" si="21"/>
        <v>-97.662226114748549</v>
      </c>
      <c r="G153" s="1">
        <f t="shared" ca="1" si="22"/>
        <v>0.42552932684607764</v>
      </c>
      <c r="H153" s="1">
        <f t="shared" ca="1" si="18"/>
        <v>0.16531871024288286</v>
      </c>
      <c r="I153" s="1">
        <f t="shared" ca="1" si="23"/>
        <v>-75.005444550343711</v>
      </c>
      <c r="K153" s="1">
        <f t="shared" ca="1" si="19"/>
        <v>3.586333105529054E-3</v>
      </c>
    </row>
    <row r="154" spans="5:11" x14ac:dyDescent="0.25">
      <c r="E154" s="1">
        <f t="shared" si="20"/>
        <v>288</v>
      </c>
      <c r="F154" s="1">
        <f t="shared" ca="1" si="21"/>
        <v>-96.811167461056399</v>
      </c>
      <c r="G154" s="1">
        <f t="shared" ca="1" si="22"/>
        <v>0.75616674733184341</v>
      </c>
      <c r="H154" s="1">
        <f t="shared" ca="1" si="18"/>
        <v>0.14978532830239935</v>
      </c>
      <c r="I154" s="1">
        <f t="shared" ca="1" si="23"/>
        <v>-75.009808854531684</v>
      </c>
      <c r="K154" s="1">
        <f t="shared" ca="1" si="19"/>
        <v>-4.3643041879766952E-3</v>
      </c>
    </row>
    <row r="155" spans="5:11" x14ac:dyDescent="0.25">
      <c r="E155" s="1">
        <f t="shared" si="20"/>
        <v>290</v>
      </c>
      <c r="F155" s="1">
        <f t="shared" ref="F155:F170" ca="1" si="24">F154+G154*dt</f>
        <v>-95.298833966392706</v>
      </c>
      <c r="G155" s="1">
        <f t="shared" ca="1" si="22"/>
        <v>1.0557374039366421</v>
      </c>
      <c r="H155" s="1">
        <f t="shared" ca="1" si="18"/>
        <v>0.12995501089827965</v>
      </c>
      <c r="I155" s="1">
        <f t="shared" ca="1" si="23"/>
        <v>-75.010529694113004</v>
      </c>
      <c r="K155" s="1">
        <f t="shared" ca="1" si="19"/>
        <v>-7.2083958131360145E-4</v>
      </c>
    </row>
    <row r="156" spans="5:11" x14ac:dyDescent="0.25">
      <c r="E156" s="1">
        <f t="shared" si="20"/>
        <v>292</v>
      </c>
      <c r="F156" s="1">
        <f t="shared" ca="1" si="24"/>
        <v>-93.187359158519428</v>
      </c>
      <c r="G156" s="1">
        <f t="shared" ca="1" si="22"/>
        <v>1.3156474257332014</v>
      </c>
      <c r="H156" s="1">
        <f t="shared" ca="1" si="18"/>
        <v>0.10645924877260196</v>
      </c>
      <c r="I156" s="1">
        <f t="shared" ca="1" si="23"/>
        <v>-75.018307904384585</v>
      </c>
      <c r="K156" s="1">
        <f t="shared" ca="1" si="19"/>
        <v>-7.7782102715786561E-3</v>
      </c>
    </row>
    <row r="157" spans="5:11" x14ac:dyDescent="0.25">
      <c r="E157" s="1">
        <f t="shared" si="20"/>
        <v>294</v>
      </c>
      <c r="F157" s="1">
        <f t="shared" ca="1" si="24"/>
        <v>-90.55606430705302</v>
      </c>
      <c r="G157" s="1">
        <f t="shared" ca="1" si="22"/>
        <v>1.5285659232784052</v>
      </c>
      <c r="H157" s="1">
        <f t="shared" ca="1" si="18"/>
        <v>8.0176720920631814E-2</v>
      </c>
      <c r="I157" s="1">
        <f t="shared" ca="1" si="23"/>
        <v>-75.025001785964164</v>
      </c>
      <c r="K157" s="1">
        <f t="shared" ca="1" si="19"/>
        <v>-6.6938815795805186E-3</v>
      </c>
    </row>
    <row r="158" spans="5:11" x14ac:dyDescent="0.25">
      <c r="E158" s="1">
        <f t="shared" si="20"/>
        <v>296</v>
      </c>
      <c r="F158" s="1">
        <f t="shared" ca="1" si="24"/>
        <v>-87.498932460496206</v>
      </c>
      <c r="G158" s="1">
        <f t="shared" ca="1" si="22"/>
        <v>1.6889193651196688</v>
      </c>
      <c r="H158" s="1">
        <f t="shared" ca="1" si="18"/>
        <v>5.2057262676183942E-2</v>
      </c>
      <c r="I158" s="1">
        <f t="shared" ca="1" si="23"/>
        <v>-75.021970709035813</v>
      </c>
      <c r="K158" s="1">
        <f t="shared" ca="1" si="19"/>
        <v>3.0310769283520412E-3</v>
      </c>
    </row>
    <row r="159" spans="5:11" x14ac:dyDescent="0.25">
      <c r="E159" s="1">
        <f t="shared" si="20"/>
        <v>298</v>
      </c>
      <c r="F159" s="1">
        <f t="shared" ca="1" si="24"/>
        <v>-84.121093730256874</v>
      </c>
      <c r="G159" s="1">
        <f t="shared" ca="1" si="22"/>
        <v>1.7930338904720367</v>
      </c>
      <c r="H159" s="1">
        <f t="shared" ca="1" si="18"/>
        <v>2.2866465540885395E-2</v>
      </c>
      <c r="I159" s="1">
        <f t="shared" ca="1" si="23"/>
        <v>-75.02881503723944</v>
      </c>
      <c r="K159" s="1">
        <f t="shared" ca="1" si="19"/>
        <v>-6.8443282036253408E-3</v>
      </c>
    </row>
    <row r="160" spans="5:11" x14ac:dyDescent="0.25">
      <c r="E160" s="1">
        <f t="shared" si="20"/>
        <v>300</v>
      </c>
      <c r="F160" s="1">
        <f t="shared" ca="1" si="24"/>
        <v>-80.535025949312796</v>
      </c>
      <c r="G160" s="1">
        <f t="shared" ca="1" si="22"/>
        <v>1.8387668215538073</v>
      </c>
      <c r="H160" s="1">
        <f t="shared" ca="1" si="18"/>
        <v>-6.4045610316611074E-3</v>
      </c>
      <c r="I160" s="1">
        <f t="shared" ca="1" si="23"/>
        <v>-75.038309310084472</v>
      </c>
      <c r="J160" t="s">
        <v>16</v>
      </c>
      <c r="K160" s="1">
        <f t="shared" ca="1" si="19"/>
        <v>-9.4942728450318412E-3</v>
      </c>
    </row>
    <row r="161" spans="5:11" x14ac:dyDescent="0.25">
      <c r="E161" s="1">
        <f t="shared" si="20"/>
        <v>302</v>
      </c>
      <c r="F161" s="1">
        <f t="shared" ca="1" si="24"/>
        <v>-76.857492306205188</v>
      </c>
      <c r="G161" s="1">
        <f t="shared" ca="1" si="22"/>
        <v>1.8259576994904851</v>
      </c>
      <c r="H161" s="1">
        <f t="shared" ca="1" si="18"/>
        <v>-3.4725218301010288E-2</v>
      </c>
      <c r="I161" s="1">
        <f t="shared" ca="1" si="23"/>
        <v>-75.035639992700737</v>
      </c>
      <c r="K161" s="1">
        <f t="shared" ca="1" si="19"/>
        <v>2.6693173837414809E-3</v>
      </c>
    </row>
    <row r="162" spans="5:11" x14ac:dyDescent="0.25">
      <c r="E162" s="1">
        <f t="shared" si="20"/>
        <v>304</v>
      </c>
      <c r="F162" s="1">
        <f t="shared" ca="1" si="24"/>
        <v>-73.205576907224213</v>
      </c>
      <c r="G162" s="1">
        <f t="shared" ca="1" si="22"/>
        <v>1.7565072628884646</v>
      </c>
      <c r="H162" s="1">
        <f t="shared" ca="1" si="18"/>
        <v>-6.1425803165083198E-2</v>
      </c>
      <c r="I162" s="1">
        <f t="shared" ca="1" si="23"/>
        <v>-75.045501076412975</v>
      </c>
      <c r="K162" s="1">
        <f t="shared" ca="1" si="19"/>
        <v>-9.861083712237791E-3</v>
      </c>
    </row>
    <row r="163" spans="5:11" x14ac:dyDescent="0.25">
      <c r="E163" s="1">
        <f t="shared" si="20"/>
        <v>306</v>
      </c>
      <c r="F163" s="1">
        <f t="shared" ca="1" si="24"/>
        <v>-69.692562381447289</v>
      </c>
      <c r="G163" s="1">
        <f t="shared" ca="1" si="22"/>
        <v>1.6336556565582983</v>
      </c>
      <c r="H163" s="1">
        <f t="shared" ca="1" si="18"/>
        <v>-8.5546840927250553E-2</v>
      </c>
      <c r="I163" s="1">
        <f t="shared" ca="1" si="23"/>
        <v>-75.047032808561156</v>
      </c>
      <c r="K163" s="1">
        <f t="shared" ca="1" si="19"/>
        <v>-1.5317321481746471E-3</v>
      </c>
    </row>
    <row r="164" spans="5:11" x14ac:dyDescent="0.25">
      <c r="E164" s="1">
        <f t="shared" si="20"/>
        <v>308</v>
      </c>
      <c r="F164" s="1">
        <f t="shared" ca="1" si="24"/>
        <v>-66.425251068330695</v>
      </c>
      <c r="G164" s="1">
        <f t="shared" ca="1" si="22"/>
        <v>1.4625619747037972</v>
      </c>
      <c r="H164" s="1">
        <f t="shared" ca="1" si="18"/>
        <v>-0.1064409148784187</v>
      </c>
      <c r="I164" s="1">
        <f t="shared" ca="1" si="23"/>
        <v>-75.046309267863634</v>
      </c>
      <c r="K164" s="1">
        <f t="shared" ca="1" si="19"/>
        <v>7.2354069751446432E-4</v>
      </c>
    </row>
    <row r="165" spans="5:11" x14ac:dyDescent="0.25">
      <c r="E165" s="1">
        <f t="shared" si="20"/>
        <v>310</v>
      </c>
      <c r="F165" s="1">
        <f t="shared" ca="1" si="24"/>
        <v>-63.500127118923103</v>
      </c>
      <c r="G165" s="1">
        <f t="shared" ca="1" si="22"/>
        <v>1.2496801449469599</v>
      </c>
      <c r="H165" s="1">
        <f t="shared" ca="1" si="18"/>
        <v>-0.12360449810599158</v>
      </c>
      <c r="I165" s="1">
        <f t="shared" ca="1" si="23"/>
        <v>-75.053084839617085</v>
      </c>
      <c r="K165" s="1">
        <f t="shared" ca="1" si="19"/>
        <v>-6.7755717534491921E-3</v>
      </c>
    </row>
    <row r="166" spans="5:11" x14ac:dyDescent="0.25">
      <c r="E166" s="1">
        <f t="shared" si="20"/>
        <v>312</v>
      </c>
      <c r="F166" s="1">
        <f t="shared" ca="1" si="24"/>
        <v>-61.000766829029182</v>
      </c>
      <c r="G166" s="1">
        <f t="shared" ca="1" si="22"/>
        <v>1.0024711487349767</v>
      </c>
      <c r="H166" s="1">
        <f t="shared" ca="1" si="18"/>
        <v>-0.13649671457620988</v>
      </c>
      <c r="I166" s="1">
        <f t="shared" ca="1" si="23"/>
        <v>-75.0559575713513</v>
      </c>
      <c r="K166" s="1">
        <f t="shared" ca="1" si="19"/>
        <v>-2.8727317342086799E-3</v>
      </c>
    </row>
    <row r="167" spans="5:11" x14ac:dyDescent="0.25">
      <c r="E167" s="1">
        <f t="shared" si="20"/>
        <v>314</v>
      </c>
      <c r="F167" s="1">
        <f t="shared" ca="1" si="24"/>
        <v>-58.995824531559229</v>
      </c>
      <c r="G167" s="1">
        <f t="shared" ca="1" si="22"/>
        <v>0.72947771958255692</v>
      </c>
      <c r="H167" s="1">
        <f t="shared" ca="1" si="18"/>
        <v>-0.14480319012450238</v>
      </c>
      <c r="I167" s="1">
        <f t="shared" ca="1" si="23"/>
        <v>-75.053925459724596</v>
      </c>
      <c r="K167" s="1">
        <f t="shared" ca="1" si="19"/>
        <v>2.0321116267018424E-3</v>
      </c>
    </row>
    <row r="168" spans="5:11" x14ac:dyDescent="0.25">
      <c r="E168" s="1">
        <f t="shared" si="20"/>
        <v>316</v>
      </c>
      <c r="F168" s="1">
        <f t="shared" ca="1" si="24"/>
        <v>-57.536869092394113</v>
      </c>
      <c r="G168" s="1">
        <f t="shared" ca="1" si="22"/>
        <v>0.43987133933355216</v>
      </c>
      <c r="H168" s="1">
        <f t="shared" ca="1" si="18"/>
        <v>-0.14844849512399494</v>
      </c>
      <c r="I168" s="1">
        <f t="shared" ca="1" si="23"/>
        <v>-75.057374634683313</v>
      </c>
      <c r="K168" s="1">
        <f t="shared" ca="1" si="19"/>
        <v>-3.4491749587123623E-3</v>
      </c>
    </row>
    <row r="169" spans="5:11" x14ac:dyDescent="0.25">
      <c r="E169" s="1">
        <f t="shared" si="20"/>
        <v>318</v>
      </c>
      <c r="F169" s="1">
        <f t="shared" ca="1" si="24"/>
        <v>-56.657126413727006</v>
      </c>
      <c r="G169" s="1">
        <f t="shared" ca="1" si="22"/>
        <v>0.14297434908556228</v>
      </c>
      <c r="H169" s="1">
        <f t="shared" ca="1" si="18"/>
        <v>-0.14736474630803292</v>
      </c>
      <c r="I169" s="1">
        <f t="shared" ca="1" si="23"/>
        <v>-75.058797407642373</v>
      </c>
      <c r="K169" s="1">
        <f t="shared" ca="1" si="19"/>
        <v>-1.4227729590655259E-3</v>
      </c>
    </row>
    <row r="170" spans="5:11" x14ac:dyDescent="0.25">
      <c r="E170" s="1">
        <f t="shared" si="20"/>
        <v>320</v>
      </c>
      <c r="F170" s="1">
        <f t="shared" ca="1" si="24"/>
        <v>-56.371177715555881</v>
      </c>
      <c r="G170" s="1">
        <f t="shared" ca="1" si="22"/>
        <v>-0.15175514353050357</v>
      </c>
      <c r="H170" s="1">
        <f t="shared" ca="1" si="18"/>
        <v>-0.14162278011293353</v>
      </c>
      <c r="I170" s="1">
        <f t="shared" ca="1" si="23"/>
        <v>-75.04935950524191</v>
      </c>
      <c r="K170" s="1">
        <f t="shared" ca="1" si="19"/>
        <v>9.437902400458489E-3</v>
      </c>
    </row>
    <row r="171" spans="5:11" x14ac:dyDescent="0.25">
      <c r="E171" s="1">
        <f t="shared" si="20"/>
        <v>322</v>
      </c>
      <c r="F171" s="1">
        <f t="shared" ref="F171:F186" ca="1" si="25">F170+G170*dt</f>
        <v>-56.67468800261689</v>
      </c>
      <c r="G171" s="1">
        <f t="shared" ca="1" si="22"/>
        <v>-0.43500070375637062</v>
      </c>
      <c r="H171" s="1">
        <f t="shared" ca="1" si="18"/>
        <v>-0.1316513956245261</v>
      </c>
      <c r="I171" s="1">
        <f t="shared" ca="1" si="23"/>
        <v>-75.047689859693406</v>
      </c>
      <c r="K171" s="1">
        <f t="shared" ca="1" si="19"/>
        <v>1.6696455485051675E-3</v>
      </c>
    </row>
    <row r="172" spans="5:11" x14ac:dyDescent="0.25">
      <c r="E172" s="1">
        <f t="shared" si="20"/>
        <v>324</v>
      </c>
      <c r="F172" s="1">
        <f t="shared" ca="1" si="25"/>
        <v>-57.544689410129628</v>
      </c>
      <c r="G172" s="1">
        <f t="shared" ca="1" si="22"/>
        <v>-0.69830349500542277</v>
      </c>
      <c r="H172" s="1">
        <f t="shared" ca="1" si="18"/>
        <v>-0.11775420046359727</v>
      </c>
      <c r="I172" s="1">
        <f t="shared" ca="1" si="23"/>
        <v>-75.040680965224837</v>
      </c>
      <c r="K172" s="1">
        <f t="shared" ca="1" si="19"/>
        <v>7.0088944685744647E-3</v>
      </c>
    </row>
    <row r="173" spans="5:11" x14ac:dyDescent="0.25">
      <c r="E173" s="1">
        <f t="shared" si="20"/>
        <v>326</v>
      </c>
      <c r="F173" s="1">
        <f t="shared" ca="1" si="25"/>
        <v>-58.941296400140473</v>
      </c>
      <c r="G173" s="1">
        <f t="shared" ca="1" si="22"/>
        <v>-0.93381189593261738</v>
      </c>
      <c r="H173" s="1">
        <f t="shared" ca="1" si="18"/>
        <v>-0.1005290533485064</v>
      </c>
      <c r="I173" s="1">
        <f t="shared" ca="1" si="23"/>
        <v>-75.038118471871314</v>
      </c>
      <c r="K173" s="1">
        <f t="shared" ca="1" si="19"/>
        <v>2.5624933535247263E-3</v>
      </c>
    </row>
    <row r="174" spans="5:11" x14ac:dyDescent="0.25">
      <c r="E174" s="1">
        <f t="shared" si="20"/>
        <v>328</v>
      </c>
      <c r="F174" s="1">
        <f t="shared" ca="1" si="25"/>
        <v>-60.808920192005708</v>
      </c>
      <c r="G174" s="1">
        <f t="shared" ca="1" si="22"/>
        <v>-1.1348700026296301</v>
      </c>
      <c r="H174" s="1">
        <f t="shared" ca="1" si="18"/>
        <v>-8.0576155815199127E-2</v>
      </c>
      <c r="I174" s="1">
        <f t="shared" ca="1" si="23"/>
        <v>-75.038493510681761</v>
      </c>
      <c r="K174" s="1">
        <f t="shared" ca="1" si="19"/>
        <v>-3.7503881044799404E-4</v>
      </c>
    </row>
    <row r="175" spans="5:11" x14ac:dyDescent="0.25">
      <c r="E175" s="1">
        <f t="shared" si="20"/>
        <v>330</v>
      </c>
      <c r="F175" s="1">
        <f t="shared" ca="1" si="25"/>
        <v>-63.078660197264966</v>
      </c>
      <c r="G175" s="1">
        <f t="shared" ca="1" si="22"/>
        <v>-1.2960223142600285</v>
      </c>
      <c r="H175" s="1">
        <f t="shared" ca="1" si="18"/>
        <v>-5.8497824045090963E-2</v>
      </c>
      <c r="I175" s="1">
        <f t="shared" ca="1" si="23"/>
        <v>-75.031380975118779</v>
      </c>
      <c r="K175" s="1">
        <f t="shared" ca="1" si="19"/>
        <v>7.1125355629807971E-3</v>
      </c>
    </row>
    <row r="176" spans="5:11" x14ac:dyDescent="0.25">
      <c r="E176" s="1">
        <f t="shared" si="20"/>
        <v>332</v>
      </c>
      <c r="F176" s="1">
        <f t="shared" ca="1" si="25"/>
        <v>-65.670704825785023</v>
      </c>
      <c r="G176" s="1">
        <f t="shared" ca="1" si="22"/>
        <v>-1.4130179623502104</v>
      </c>
      <c r="H176" s="1">
        <f t="shared" ca="1" si="18"/>
        <v>-3.521479356587634E-2</v>
      </c>
      <c r="I176" s="1">
        <f t="shared" ca="1" si="23"/>
        <v>-75.040406743331431</v>
      </c>
      <c r="K176" s="1">
        <f t="shared" ca="1" si="19"/>
        <v>-9.0257682126469192E-3</v>
      </c>
    </row>
    <row r="177" spans="5:11" x14ac:dyDescent="0.25">
      <c r="E177" s="1">
        <f t="shared" si="20"/>
        <v>334</v>
      </c>
      <c r="F177" s="1">
        <f t="shared" ca="1" si="25"/>
        <v>-68.496740750485444</v>
      </c>
      <c r="G177" s="1">
        <f t="shared" ca="1" si="22"/>
        <v>-1.483447549481963</v>
      </c>
      <c r="H177" s="1">
        <f t="shared" ca="1" si="18"/>
        <v>-1.1320480275831935E-2</v>
      </c>
      <c r="I177" s="1">
        <f t="shared" ca="1" si="23"/>
        <v>-75.045058007145514</v>
      </c>
      <c r="K177" s="1">
        <f t="shared" ca="1" si="19"/>
        <v>-4.6512638140772493E-3</v>
      </c>
    </row>
    <row r="178" spans="5:11" x14ac:dyDescent="0.25">
      <c r="E178" s="1">
        <f t="shared" si="20"/>
        <v>336</v>
      </c>
      <c r="F178" s="1">
        <f t="shared" ca="1" si="25"/>
        <v>-71.463635849449375</v>
      </c>
      <c r="G178" s="1">
        <f t="shared" ca="1" si="22"/>
        <v>-1.506088510033627</v>
      </c>
      <c r="H178" s="1">
        <f t="shared" ca="1" si="18"/>
        <v>1.2493673383876362E-2</v>
      </c>
      <c r="I178" s="1">
        <f t="shared" ca="1" si="23"/>
        <v>-75.036648501375637</v>
      </c>
      <c r="K178" s="1">
        <f t="shared" ca="1" si="19"/>
        <v>8.4095057698759506E-3</v>
      </c>
    </row>
    <row r="179" spans="5:11" x14ac:dyDescent="0.25">
      <c r="E179" s="1">
        <f t="shared" si="20"/>
        <v>338</v>
      </c>
      <c r="F179" s="1">
        <f t="shared" ca="1" si="25"/>
        <v>-74.475812869516631</v>
      </c>
      <c r="G179" s="1">
        <f t="shared" ca="1" si="22"/>
        <v>-1.4811011632658742</v>
      </c>
      <c r="H179" s="1">
        <f t="shared" ca="1" si="18"/>
        <v>3.5343753833104077E-2</v>
      </c>
      <c r="I179" s="1">
        <f t="shared" ca="1" si="23"/>
        <v>-75.033474067262958</v>
      </c>
      <c r="K179" s="1">
        <f t="shared" ca="1" si="19"/>
        <v>3.1744341126774024E-3</v>
      </c>
    </row>
    <row r="180" spans="5:11" x14ac:dyDescent="0.25">
      <c r="E180" s="1">
        <f t="shared" si="20"/>
        <v>340</v>
      </c>
      <c r="F180" s="1">
        <f t="shared" ca="1" si="25"/>
        <v>-77.438015196048383</v>
      </c>
      <c r="G180" s="1">
        <f t="shared" ca="1" si="22"/>
        <v>-1.410413655599666</v>
      </c>
      <c r="H180" s="1">
        <f t="shared" ca="1" si="18"/>
        <v>5.6506924846384851E-2</v>
      </c>
      <c r="I180" s="1">
        <f t="shared" ca="1" si="23"/>
        <v>-75.039574314469689</v>
      </c>
      <c r="K180" s="1">
        <f t="shared" ca="1" si="19"/>
        <v>-6.1002472067364401E-3</v>
      </c>
    </row>
    <row r="181" spans="5:11" x14ac:dyDescent="0.25">
      <c r="E181" s="1">
        <f t="shared" si="20"/>
        <v>342</v>
      </c>
      <c r="F181" s="1">
        <f t="shared" ca="1" si="25"/>
        <v>-80.258842507247721</v>
      </c>
      <c r="G181" s="1">
        <f t="shared" ca="1" si="22"/>
        <v>-1.2973998059068963</v>
      </c>
      <c r="H181" s="1">
        <f t="shared" ca="1" si="18"/>
        <v>7.5480482293147494E-2</v>
      </c>
      <c r="I181" s="1">
        <f t="shared" ca="1" si="23"/>
        <v>-75.039590264319173</v>
      </c>
      <c r="K181" s="1">
        <f t="shared" ca="1" si="19"/>
        <v>-1.5949849490000112E-5</v>
      </c>
    </row>
    <row r="182" spans="5:11" x14ac:dyDescent="0.25">
      <c r="E182" s="1">
        <f t="shared" si="20"/>
        <v>344</v>
      </c>
      <c r="F182" s="1">
        <f t="shared" ca="1" si="25"/>
        <v>-82.853642119061519</v>
      </c>
      <c r="G182" s="1">
        <f t="shared" ca="1" si="22"/>
        <v>-1.1464388413206013</v>
      </c>
      <c r="H182" s="1">
        <f t="shared" ca="1" si="18"/>
        <v>9.1700650134191736E-2</v>
      </c>
      <c r="I182" s="1">
        <f t="shared" ca="1" si="23"/>
        <v>-75.036194787420541</v>
      </c>
      <c r="K182" s="1">
        <f t="shared" ca="1" si="19"/>
        <v>3.3954768986370243E-3</v>
      </c>
    </row>
    <row r="183" spans="5:11" x14ac:dyDescent="0.25">
      <c r="E183" s="1">
        <f t="shared" si="20"/>
        <v>346</v>
      </c>
      <c r="F183" s="1">
        <f t="shared" ca="1" si="25"/>
        <v>-85.146519801702723</v>
      </c>
      <c r="G183" s="1">
        <f t="shared" ca="1" si="22"/>
        <v>-0.96303754105221784</v>
      </c>
      <c r="H183" s="1">
        <f t="shared" ca="1" si="18"/>
        <v>0.10466529692159648</v>
      </c>
      <c r="I183" s="1">
        <f t="shared" ca="1" si="23"/>
        <v>-75.036790209215923</v>
      </c>
      <c r="K183" s="1">
        <f t="shared" ca="1" si="19"/>
        <v>-5.9542179538179195E-4</v>
      </c>
    </row>
    <row r="184" spans="5:11" x14ac:dyDescent="0.25">
      <c r="E184" s="1">
        <f t="shared" si="20"/>
        <v>348</v>
      </c>
      <c r="F184" s="1">
        <f t="shared" ca="1" si="25"/>
        <v>-87.072594883807156</v>
      </c>
      <c r="G184" s="1">
        <f t="shared" ca="1" si="22"/>
        <v>-0.75370694720902487</v>
      </c>
      <c r="H184" s="1">
        <f t="shared" ca="1" si="18"/>
        <v>0.11404175943468303</v>
      </c>
      <c r="I184" s="1">
        <f t="shared" ca="1" si="23"/>
        <v>-75.041516262078801</v>
      </c>
      <c r="K184" s="1">
        <f t="shared" ca="1" si="19"/>
        <v>-4.7260528628736047E-3</v>
      </c>
    </row>
    <row r="185" spans="5:11" x14ac:dyDescent="0.25">
      <c r="E185" s="1">
        <f t="shared" si="20"/>
        <v>350</v>
      </c>
      <c r="F185" s="1">
        <f t="shared" ca="1" si="25"/>
        <v>-88.580008778225206</v>
      </c>
      <c r="G185" s="1">
        <f t="shared" ca="1" si="22"/>
        <v>-0.5256234283396588</v>
      </c>
      <c r="H185" s="1">
        <f t="shared" ca="1" si="18"/>
        <v>0.11970235695655326</v>
      </c>
      <c r="I185" s="1">
        <f t="shared" ca="1" si="23"/>
        <v>-75.039540947834126</v>
      </c>
      <c r="J185" t="s">
        <v>17</v>
      </c>
      <c r="K185" s="1">
        <f t="shared" ca="1" si="19"/>
        <v>1.975314244675559E-3</v>
      </c>
    </row>
    <row r="186" spans="5:11" x14ac:dyDescent="0.25">
      <c r="E186" s="1">
        <f t="shared" si="20"/>
        <v>352</v>
      </c>
      <c r="F186" s="1">
        <f t="shared" ca="1" si="25"/>
        <v>-89.63125563490452</v>
      </c>
      <c r="G186" s="1">
        <f t="shared" ca="1" si="22"/>
        <v>-0.28621871442655228</v>
      </c>
      <c r="H186" s="1">
        <f t="shared" ca="1" si="18"/>
        <v>0.12146022006210047</v>
      </c>
      <c r="I186" s="1">
        <f t="shared" ca="1" si="23"/>
        <v>-75.042850697023894</v>
      </c>
      <c r="K186" s="1">
        <f t="shared" ca="1" si="19"/>
        <v>-3.3097491897699218E-3</v>
      </c>
    </row>
    <row r="187" spans="5:11" x14ac:dyDescent="0.25">
      <c r="E187" s="1">
        <f t="shared" si="20"/>
        <v>354</v>
      </c>
      <c r="F187" s="1">
        <f t="shared" ref="F187:F202" ca="1" si="26">F186+G186*dt</f>
        <v>-90.203693063757626</v>
      </c>
      <c r="G187" s="1">
        <f t="shared" ca="1" si="22"/>
        <v>-4.3298274302351336E-2</v>
      </c>
      <c r="H187" s="1">
        <f t="shared" ca="1" si="18"/>
        <v>0.11948611004392549</v>
      </c>
      <c r="I187" s="1">
        <f t="shared" ca="1" si="23"/>
        <v>-75.033729436498334</v>
      </c>
      <c r="K187" s="1">
        <f t="shared" ca="1" si="19"/>
        <v>9.1212605255541809E-3</v>
      </c>
    </row>
    <row r="188" spans="5:11" x14ac:dyDescent="0.25">
      <c r="E188" s="1">
        <f t="shared" si="20"/>
        <v>356</v>
      </c>
      <c r="F188" s="1">
        <f t="shared" ca="1" si="26"/>
        <v>-90.290289612362329</v>
      </c>
      <c r="G188" s="1">
        <f t="shared" ca="1" si="22"/>
        <v>0.19567394578549965</v>
      </c>
      <c r="H188" s="1">
        <f t="shared" ca="1" si="18"/>
        <v>0.11370729263471509</v>
      </c>
      <c r="I188" s="1">
        <f t="shared" ca="1" si="23"/>
        <v>-75.040115973674318</v>
      </c>
      <c r="K188" s="1">
        <f t="shared" ca="1" si="19"/>
        <v>-6.3865371759843194E-3</v>
      </c>
    </row>
    <row r="189" spans="5:11" x14ac:dyDescent="0.25">
      <c r="E189" s="1">
        <f t="shared" si="20"/>
        <v>358</v>
      </c>
      <c r="F189" s="1">
        <f t="shared" ca="1" si="26"/>
        <v>-89.898941720791328</v>
      </c>
      <c r="G189" s="1">
        <f t="shared" ca="1" si="22"/>
        <v>0.42308853105492983</v>
      </c>
      <c r="H189" s="1">
        <f t="shared" ca="1" si="18"/>
        <v>0.10461244820657513</v>
      </c>
      <c r="I189" s="1">
        <f t="shared" ca="1" si="23"/>
        <v>-75.033400587605783</v>
      </c>
      <c r="K189" s="1">
        <f t="shared" ca="1" si="19"/>
        <v>6.7153860685411097E-3</v>
      </c>
    </row>
    <row r="190" spans="5:11" x14ac:dyDescent="0.25">
      <c r="E190" s="1">
        <f t="shared" si="20"/>
        <v>360</v>
      </c>
      <c r="F190" s="1">
        <f t="shared" ca="1" si="26"/>
        <v>-89.052764658681468</v>
      </c>
      <c r="G190" s="1">
        <f t="shared" ca="1" si="22"/>
        <v>0.63231342746808006</v>
      </c>
      <c r="H190" s="1">
        <f t="shared" ca="1" si="18"/>
        <v>9.2360492879359338E-2</v>
      </c>
      <c r="I190" s="1">
        <f t="shared" ca="1" si="23"/>
        <v>-75.039111743873278</v>
      </c>
      <c r="K190" s="1">
        <f t="shared" ca="1" si="19"/>
        <v>-5.7111562674943281E-3</v>
      </c>
    </row>
    <row r="191" spans="5:11" x14ac:dyDescent="0.25">
      <c r="E191" s="1">
        <f t="shared" si="20"/>
        <v>362</v>
      </c>
      <c r="F191" s="1">
        <f t="shared" ca="1" si="26"/>
        <v>-87.788137803745315</v>
      </c>
      <c r="G191" s="1">
        <f t="shared" ca="1" si="22"/>
        <v>0.81703441322679871</v>
      </c>
      <c r="H191" s="1">
        <f t="shared" ca="1" si="18"/>
        <v>7.751190096079065E-2</v>
      </c>
      <c r="I191" s="1">
        <f t="shared" ca="1" si="23"/>
        <v>-75.043468158198024</v>
      </c>
      <c r="K191" s="1">
        <f t="shared" ca="1" si="19"/>
        <v>-4.3564143247441425E-3</v>
      </c>
    </row>
    <row r="192" spans="5:11" x14ac:dyDescent="0.25">
      <c r="E192" s="1">
        <f t="shared" si="20"/>
        <v>364</v>
      </c>
      <c r="F192" s="1">
        <f t="shared" ca="1" si="26"/>
        <v>-86.154068977291715</v>
      </c>
      <c r="G192" s="1">
        <f t="shared" ca="1" si="22"/>
        <v>0.97205821514837998</v>
      </c>
      <c r="H192" s="1">
        <f t="shared" ca="1" si="18"/>
        <v>6.0589618819987909E-2</v>
      </c>
      <c r="I192" s="1">
        <f t="shared" ca="1" si="23"/>
        <v>-75.046276799603959</v>
      </c>
      <c r="K192" s="1">
        <f t="shared" ca="1" si="19"/>
        <v>-2.8086414059396913E-3</v>
      </c>
    </row>
    <row r="193" spans="5:11" x14ac:dyDescent="0.25">
      <c r="E193" s="1">
        <f t="shared" si="20"/>
        <v>366</v>
      </c>
      <c r="F193" s="1">
        <f t="shared" ca="1" si="26"/>
        <v>-84.209952546994955</v>
      </c>
      <c r="G193" s="1">
        <f t="shared" ca="1" si="22"/>
        <v>1.0932374527883557</v>
      </c>
      <c r="H193" s="1">
        <f t="shared" ca="1" si="18"/>
        <v>4.2196739236774999E-2</v>
      </c>
      <c r="I193" s="1">
        <f t="shared" ca="1" si="23"/>
        <v>-75.043862422443297</v>
      </c>
      <c r="K193" s="1">
        <f t="shared" ca="1" si="19"/>
        <v>2.414377160667469E-3</v>
      </c>
    </row>
    <row r="194" spans="5:11" x14ac:dyDescent="0.25">
      <c r="E194" s="1">
        <f t="shared" si="20"/>
        <v>368</v>
      </c>
      <c r="F194" s="1">
        <f t="shared" ca="1" si="26"/>
        <v>-82.023477641418239</v>
      </c>
      <c r="G194" s="1">
        <f t="shared" ca="1" si="22"/>
        <v>1.1776309312619058</v>
      </c>
      <c r="H194" s="1">
        <f t="shared" ca="1" si="18"/>
        <v>2.2863322778269732E-2</v>
      </c>
      <c r="I194" s="1">
        <f t="shared" ca="1" si="23"/>
        <v>-75.046063316278648</v>
      </c>
      <c r="K194" s="1">
        <f t="shared" ca="1" si="19"/>
        <v>-2.2008938353450082E-3</v>
      </c>
    </row>
    <row r="195" spans="5:11" x14ac:dyDescent="0.25">
      <c r="E195" s="1">
        <f t="shared" si="20"/>
        <v>370</v>
      </c>
      <c r="F195" s="1">
        <f t="shared" ca="1" si="26"/>
        <v>-79.668215778894421</v>
      </c>
      <c r="G195" s="1">
        <f t="shared" ca="1" si="22"/>
        <v>1.2233575768184453</v>
      </c>
      <c r="H195" s="1">
        <f t="shared" ca="1" si="18"/>
        <v>3.2081122839539081E-3</v>
      </c>
      <c r="I195" s="1">
        <f t="shared" ca="1" si="23"/>
        <v>-75.053588170857466</v>
      </c>
      <c r="K195" s="1">
        <f t="shared" ca="1" si="19"/>
        <v>-7.5248545788203702E-3</v>
      </c>
    </row>
    <row r="196" spans="5:11" x14ac:dyDescent="0.25">
      <c r="E196" s="1">
        <f t="shared" si="20"/>
        <v>372</v>
      </c>
      <c r="F196" s="1">
        <f t="shared" ca="1" si="26"/>
        <v>-77.221500625257534</v>
      </c>
      <c r="G196" s="1">
        <f t="shared" ca="1" si="22"/>
        <v>1.2297738013863531</v>
      </c>
      <c r="H196" s="1">
        <f t="shared" ca="1" si="18"/>
        <v>-1.6120297776824114E-2</v>
      </c>
      <c r="I196" s="1">
        <f t="shared" ca="1" si="23"/>
        <v>-75.062828817522899</v>
      </c>
      <c r="K196" s="1">
        <f t="shared" ca="1" si="19"/>
        <v>-9.2406466654338069E-3</v>
      </c>
    </row>
    <row r="197" spans="5:11" x14ac:dyDescent="0.25">
      <c r="E197" s="1">
        <f t="shared" si="20"/>
        <v>374</v>
      </c>
      <c r="F197" s="1">
        <f t="shared" ca="1" si="26"/>
        <v>-74.761953022484832</v>
      </c>
      <c r="G197" s="1">
        <f t="shared" ca="1" si="22"/>
        <v>1.1975332058327048</v>
      </c>
      <c r="H197" s="1">
        <f t="shared" ca="1" si="18"/>
        <v>-3.4472342031612084E-2</v>
      </c>
      <c r="I197" s="1">
        <f t="shared" ca="1" si="23"/>
        <v>-75.066882780856062</v>
      </c>
      <c r="K197" s="1">
        <f t="shared" ca="1" si="19"/>
        <v>-4.0539633331610567E-3</v>
      </c>
    </row>
    <row r="198" spans="5:11" x14ac:dyDescent="0.25">
      <c r="E198" s="1">
        <f t="shared" si="20"/>
        <v>376</v>
      </c>
      <c r="F198" s="1">
        <f t="shared" ca="1" si="26"/>
        <v>-72.366886610819421</v>
      </c>
      <c r="G198" s="1">
        <f t="shared" ca="1" si="22"/>
        <v>1.1285885217694807</v>
      </c>
      <c r="H198" s="1">
        <f t="shared" ca="1" si="18"/>
        <v>-5.1246720205096061E-2</v>
      </c>
      <c r="I198" s="1">
        <f t="shared" ca="1" si="23"/>
        <v>-75.059264536675059</v>
      </c>
      <c r="K198" s="1">
        <f t="shared" ca="1" si="19"/>
        <v>7.6182441810099056E-3</v>
      </c>
    </row>
    <row r="199" spans="5:11" x14ac:dyDescent="0.25">
      <c r="E199" s="1">
        <f t="shared" si="20"/>
        <v>378</v>
      </c>
      <c r="F199" s="1">
        <f t="shared" ca="1" si="26"/>
        <v>-70.109709567280461</v>
      </c>
      <c r="G199" s="1">
        <f t="shared" ca="1" si="22"/>
        <v>1.0260950813592886</v>
      </c>
      <c r="H199" s="1">
        <f t="shared" ca="1" si="18"/>
        <v>-6.6119598016083719E-2</v>
      </c>
      <c r="I199" s="1">
        <f t="shared" ca="1" si="23"/>
        <v>-75.061023648774665</v>
      </c>
      <c r="K199" s="1">
        <f t="shared" ca="1" si="19"/>
        <v>-1.759112099608351E-3</v>
      </c>
    </row>
    <row r="200" spans="5:11" x14ac:dyDescent="0.25">
      <c r="E200" s="1">
        <f t="shared" si="20"/>
        <v>380</v>
      </c>
      <c r="F200" s="1">
        <f t="shared" ca="1" si="26"/>
        <v>-68.057519404561887</v>
      </c>
      <c r="G200" s="1">
        <f t="shared" ca="1" si="22"/>
        <v>0.89385588532712124</v>
      </c>
      <c r="H200" s="1">
        <f t="shared" ca="1" si="18"/>
        <v>-7.8607611764668239E-2</v>
      </c>
      <c r="I200" s="1">
        <f t="shared" ca="1" si="23"/>
        <v>-75.064221204292835</v>
      </c>
      <c r="K200" s="1">
        <f t="shared" ca="1" si="19"/>
        <v>-3.1975555181689885E-3</v>
      </c>
    </row>
    <row r="201" spans="5:11" x14ac:dyDescent="0.25">
      <c r="E201" s="1">
        <f t="shared" si="20"/>
        <v>382</v>
      </c>
      <c r="F201" s="1">
        <f t="shared" ca="1" si="26"/>
        <v>-66.269807633907647</v>
      </c>
      <c r="G201" s="1">
        <f t="shared" ca="1" si="22"/>
        <v>0.73664066179778476</v>
      </c>
      <c r="H201" s="1">
        <f t="shared" ca="1" si="18"/>
        <v>-8.8413039023309659E-2</v>
      </c>
      <c r="I201" s="1">
        <f t="shared" ca="1" si="23"/>
        <v>-75.073790875847266</v>
      </c>
      <c r="K201" s="1">
        <f t="shared" ca="1" si="19"/>
        <v>-9.5696715544324323E-3</v>
      </c>
    </row>
    <row r="202" spans="5:11" x14ac:dyDescent="0.25">
      <c r="E202" s="1">
        <f t="shared" si="20"/>
        <v>384</v>
      </c>
      <c r="F202" s="1">
        <f t="shared" ca="1" si="26"/>
        <v>-64.796526310312075</v>
      </c>
      <c r="G202" s="1">
        <f t="shared" ca="1" si="22"/>
        <v>0.55981458375116544</v>
      </c>
      <c r="H202" s="1">
        <f t="shared" ref="H202:H265" ca="1" si="27">-k*(F202-I202)/m-(b+bb)*G202</f>
        <v>-9.5116049077908202E-2</v>
      </c>
      <c r="I202" s="1">
        <f t="shared" ca="1" si="23"/>
        <v>-75.067426083821942</v>
      </c>
      <c r="K202" s="1">
        <f t="shared" ref="K202:K265" ca="1" si="28">NoiseAmp*(0.5-RAND())</f>
        <v>6.3647920253191792E-3</v>
      </c>
    </row>
    <row r="203" spans="5:11" x14ac:dyDescent="0.25">
      <c r="E203" s="1">
        <f t="shared" ref="E203:E266" si="29">E202+dt</f>
        <v>386</v>
      </c>
      <c r="F203" s="1">
        <f t="shared" ref="F203:F218" ca="1" si="30">F202+G202*dt</f>
        <v>-63.676897142809743</v>
      </c>
      <c r="G203" s="1">
        <f t="shared" ref="G203:G266" ca="1" si="31">IF(ABS(F203)&gt;100,-1.2*G202,G202+H202*dt)</f>
        <v>0.36958248559534901</v>
      </c>
      <c r="H203" s="1">
        <f t="shared" ca="1" si="27"/>
        <v>-9.8757125341075128E-2</v>
      </c>
      <c r="I203" s="1">
        <f t="shared" ca="1" si="23"/>
        <v>-75.068219543722535</v>
      </c>
      <c r="K203" s="1">
        <f t="shared" ca="1" si="28"/>
        <v>-7.934599005858245E-4</v>
      </c>
    </row>
    <row r="204" spans="5:11" x14ac:dyDescent="0.25">
      <c r="E204" s="1">
        <f t="shared" si="29"/>
        <v>388</v>
      </c>
      <c r="F204" s="1">
        <f t="shared" ca="1" si="30"/>
        <v>-62.937732171619047</v>
      </c>
      <c r="G204" s="1">
        <f t="shared" ca="1" si="31"/>
        <v>0.17206823491319875</v>
      </c>
      <c r="H204" s="1">
        <f t="shared" ca="1" si="27"/>
        <v>-9.9225057630995872E-2</v>
      </c>
      <c r="I204" s="1">
        <f t="shared" ref="I204:I267" ca="1" si="32">I203+K204</f>
        <v>-75.067684599224449</v>
      </c>
      <c r="K204" s="1">
        <f t="shared" ca="1" si="28"/>
        <v>5.3494449808077604E-4</v>
      </c>
    </row>
    <row r="205" spans="5:11" x14ac:dyDescent="0.25">
      <c r="E205" s="1">
        <f t="shared" si="29"/>
        <v>390</v>
      </c>
      <c r="F205" s="1">
        <f t="shared" ca="1" si="30"/>
        <v>-62.593595701792651</v>
      </c>
      <c r="G205" s="1">
        <f t="shared" ca="1" si="31"/>
        <v>-2.6381880348792991E-2</v>
      </c>
      <c r="H205" s="1">
        <f t="shared" ca="1" si="27"/>
        <v>-9.6609853926151096E-2</v>
      </c>
      <c r="I205" s="1">
        <f t="shared" ca="1" si="32"/>
        <v>-75.070119845318132</v>
      </c>
      <c r="K205" s="1">
        <f t="shared" ca="1" si="28"/>
        <v>-2.4352460936846775E-3</v>
      </c>
    </row>
    <row r="206" spans="5:11" x14ac:dyDescent="0.25">
      <c r="E206" s="1">
        <f t="shared" si="29"/>
        <v>392</v>
      </c>
      <c r="F206" s="1">
        <f t="shared" ca="1" si="30"/>
        <v>-62.646359462490238</v>
      </c>
      <c r="G206" s="1">
        <f t="shared" ca="1" si="31"/>
        <v>-0.21960158820109518</v>
      </c>
      <c r="H206" s="1">
        <f t="shared" ca="1" si="27"/>
        <v>-9.1080695815795296E-2</v>
      </c>
      <c r="I206" s="1">
        <f t="shared" ca="1" si="32"/>
        <v>-75.077900280385705</v>
      </c>
      <c r="K206" s="1">
        <f t="shared" ca="1" si="28"/>
        <v>-7.7804350675723952E-3</v>
      </c>
    </row>
    <row r="207" spans="5:11" x14ac:dyDescent="0.25">
      <c r="E207" s="1">
        <f t="shared" si="29"/>
        <v>394</v>
      </c>
      <c r="F207" s="1">
        <f t="shared" ca="1" si="30"/>
        <v>-63.085562638892426</v>
      </c>
      <c r="G207" s="1">
        <f t="shared" ca="1" si="31"/>
        <v>-0.40176297983268577</v>
      </c>
      <c r="H207" s="1">
        <f t="shared" ca="1" si="27"/>
        <v>-8.2702331726751871E-2</v>
      </c>
      <c r="I207" s="1">
        <f t="shared" ca="1" si="32"/>
        <v>-75.06884207302933</v>
      </c>
      <c r="K207" s="1">
        <f t="shared" ca="1" si="28"/>
        <v>9.0582073563735561E-3</v>
      </c>
    </row>
    <row r="208" spans="5:11" x14ac:dyDescent="0.25">
      <c r="E208" s="1">
        <f t="shared" si="29"/>
        <v>396</v>
      </c>
      <c r="F208" s="1">
        <f t="shared" ca="1" si="30"/>
        <v>-63.889088598557798</v>
      </c>
      <c r="G208" s="1">
        <f t="shared" ca="1" si="31"/>
        <v>-0.56716764328618952</v>
      </c>
      <c r="H208" s="1">
        <f t="shared" ca="1" si="27"/>
        <v>-7.1989470988482102E-2</v>
      </c>
      <c r="I208" s="1">
        <f t="shared" ca="1" si="32"/>
        <v>-75.067237807346515</v>
      </c>
      <c r="K208" s="1">
        <f t="shared" ca="1" si="28"/>
        <v>1.6042656828108438E-3</v>
      </c>
    </row>
    <row r="209" spans="5:11" x14ac:dyDescent="0.25">
      <c r="E209" s="1">
        <f t="shared" si="29"/>
        <v>398</v>
      </c>
      <c r="F209" s="1">
        <f t="shared" ca="1" si="30"/>
        <v>-65.023423885130171</v>
      </c>
      <c r="G209" s="1">
        <f t="shared" ca="1" si="31"/>
        <v>-0.71114658526315377</v>
      </c>
      <c r="H209" s="1">
        <f t="shared" ca="1" si="27"/>
        <v>-5.9258408498612816E-2</v>
      </c>
      <c r="I209" s="1">
        <f t="shared" ca="1" si="32"/>
        <v>-75.064082472779575</v>
      </c>
      <c r="K209" s="1">
        <f t="shared" ca="1" si="28"/>
        <v>3.1553345669396958E-3</v>
      </c>
    </row>
    <row r="210" spans="5:11" x14ac:dyDescent="0.25">
      <c r="E210" s="1">
        <f t="shared" si="29"/>
        <v>400</v>
      </c>
      <c r="F210" s="1">
        <f t="shared" ca="1" si="30"/>
        <v>-66.445717055656473</v>
      </c>
      <c r="G210" s="1">
        <f t="shared" ca="1" si="31"/>
        <v>-0.82966340226037938</v>
      </c>
      <c r="H210" s="1">
        <f t="shared" ca="1" si="27"/>
        <v>-4.5014899749723863E-2</v>
      </c>
      <c r="I210" s="1">
        <f t="shared" ca="1" si="32"/>
        <v>-75.067496405695195</v>
      </c>
      <c r="J210" t="s">
        <v>18</v>
      </c>
      <c r="K210" s="1">
        <f t="shared" ca="1" si="28"/>
        <v>-3.4139329156233412E-3</v>
      </c>
    </row>
    <row r="211" spans="5:11" x14ac:dyDescent="0.25">
      <c r="E211" s="1">
        <f t="shared" si="29"/>
        <v>402</v>
      </c>
      <c r="F211" s="1">
        <f t="shared" ca="1" si="30"/>
        <v>-68.105043860177233</v>
      </c>
      <c r="G211" s="1">
        <f t="shared" ca="1" si="31"/>
        <v>-0.91969320175982716</v>
      </c>
      <c r="H211" s="1">
        <f t="shared" ca="1" si="27"/>
        <v>-2.9594877436548161E-2</v>
      </c>
      <c r="I211" s="1">
        <f t="shared" ca="1" si="32"/>
        <v>-75.05923042988384</v>
      </c>
      <c r="K211" s="1">
        <f t="shared" ca="1" si="28"/>
        <v>8.2659758113538193E-3</v>
      </c>
    </row>
    <row r="212" spans="5:11" x14ac:dyDescent="0.25">
      <c r="E212" s="1">
        <f t="shared" si="29"/>
        <v>404</v>
      </c>
      <c r="F212" s="1">
        <f t="shared" ca="1" si="30"/>
        <v>-69.944430263696887</v>
      </c>
      <c r="G212" s="1">
        <f t="shared" ca="1" si="31"/>
        <v>-0.97888295663292346</v>
      </c>
      <c r="H212" s="1">
        <f t="shared" ca="1" si="27"/>
        <v>-1.362760319338532E-2</v>
      </c>
      <c r="I212" s="1">
        <f t="shared" ca="1" si="32"/>
        <v>-75.05490031897223</v>
      </c>
      <c r="K212" s="1">
        <f t="shared" ca="1" si="28"/>
        <v>4.3301109116135536E-3</v>
      </c>
    </row>
    <row r="213" spans="5:11" x14ac:dyDescent="0.25">
      <c r="E213" s="1">
        <f t="shared" si="29"/>
        <v>406</v>
      </c>
      <c r="F213" s="1">
        <f t="shared" ca="1" si="30"/>
        <v>-71.902196176962732</v>
      </c>
      <c r="G213" s="1">
        <f t="shared" ca="1" si="31"/>
        <v>-1.0061381630196942</v>
      </c>
      <c r="H213" s="1">
        <f t="shared" ca="1" si="27"/>
        <v>2.380354326396019E-3</v>
      </c>
      <c r="I213" s="1">
        <f t="shared" ca="1" si="32"/>
        <v>-75.054010079851423</v>
      </c>
      <c r="K213" s="1">
        <f t="shared" ca="1" si="28"/>
        <v>8.9023912080279152E-4</v>
      </c>
    </row>
    <row r="214" spans="5:11" x14ac:dyDescent="0.25">
      <c r="E214" s="1">
        <f t="shared" si="29"/>
        <v>408</v>
      </c>
      <c r="F214" s="1">
        <f t="shared" ca="1" si="30"/>
        <v>-73.914472503002116</v>
      </c>
      <c r="G214" s="1">
        <f t="shared" ca="1" si="31"/>
        <v>-1.0013774543669021</v>
      </c>
      <c r="H214" s="1">
        <f t="shared" ca="1" si="27"/>
        <v>1.8019151035075242E-2</v>
      </c>
      <c r="I214" s="1">
        <f t="shared" ca="1" si="32"/>
        <v>-75.044955162227467</v>
      </c>
      <c r="K214" s="1">
        <f t="shared" ca="1" si="28"/>
        <v>9.0549176239493653E-3</v>
      </c>
    </row>
    <row r="215" spans="5:11" x14ac:dyDescent="0.25">
      <c r="E215" s="1">
        <f t="shared" si="29"/>
        <v>410</v>
      </c>
      <c r="F215" s="1">
        <f t="shared" ca="1" si="30"/>
        <v>-75.917227411735922</v>
      </c>
      <c r="G215" s="1">
        <f t="shared" ca="1" si="31"/>
        <v>-0.9653391522967516</v>
      </c>
      <c r="H215" s="1">
        <f t="shared" ca="1" si="27"/>
        <v>3.2745988596969554E-2</v>
      </c>
      <c r="I215" s="1">
        <f t="shared" ca="1" si="32"/>
        <v>-75.035830063605587</v>
      </c>
      <c r="K215" s="1">
        <f t="shared" ca="1" si="28"/>
        <v>9.1250986218819243E-3</v>
      </c>
    </row>
    <row r="216" spans="5:11" x14ac:dyDescent="0.25">
      <c r="E216" s="1">
        <f t="shared" si="29"/>
        <v>412</v>
      </c>
      <c r="F216" s="1">
        <f t="shared" ca="1" si="30"/>
        <v>-77.847905716329421</v>
      </c>
      <c r="G216" s="1">
        <f t="shared" ca="1" si="31"/>
        <v>-0.89984717510281254</v>
      </c>
      <c r="H216" s="1">
        <f t="shared" ca="1" si="27"/>
        <v>4.6087227996116122E-2</v>
      </c>
      <c r="I216" s="1">
        <f t="shared" ca="1" si="32"/>
        <v>-75.031069344103685</v>
      </c>
      <c r="K216" s="1">
        <f t="shared" ca="1" si="28"/>
        <v>4.7607195019075885E-3</v>
      </c>
    </row>
    <row r="217" spans="5:11" x14ac:dyDescent="0.25">
      <c r="E217" s="1">
        <f t="shared" si="29"/>
        <v>414</v>
      </c>
      <c r="F217" s="1">
        <f t="shared" ca="1" si="30"/>
        <v>-79.647600066535048</v>
      </c>
      <c r="G217" s="1">
        <f t="shared" ca="1" si="31"/>
        <v>-0.80767271911058025</v>
      </c>
      <c r="H217" s="1">
        <f t="shared" ca="1" si="27"/>
        <v>5.7704071717147379E-2</v>
      </c>
      <c r="I217" s="1">
        <f t="shared" ca="1" si="32"/>
        <v>-75.024722778716608</v>
      </c>
      <c r="K217" s="1">
        <f t="shared" ca="1" si="28"/>
        <v>6.3465653870709614E-3</v>
      </c>
    </row>
    <row r="218" spans="5:11" x14ac:dyDescent="0.25">
      <c r="E218" s="1">
        <f t="shared" si="29"/>
        <v>416</v>
      </c>
      <c r="F218" s="1">
        <f t="shared" ca="1" si="30"/>
        <v>-81.262945504756203</v>
      </c>
      <c r="G218" s="1">
        <f t="shared" ca="1" si="31"/>
        <v>-0.69226457567628552</v>
      </c>
      <c r="H218" s="1">
        <f t="shared" ca="1" si="27"/>
        <v>6.7184015990410989E-2</v>
      </c>
      <c r="I218" s="1">
        <f t="shared" ca="1" si="32"/>
        <v>-75.028160201898956</v>
      </c>
      <c r="K218" s="1">
        <f t="shared" ca="1" si="28"/>
        <v>-3.4374231823510425E-3</v>
      </c>
    </row>
    <row r="219" spans="5:11" x14ac:dyDescent="0.25">
      <c r="E219" s="1">
        <f t="shared" si="29"/>
        <v>418</v>
      </c>
      <c r="F219" s="1">
        <f t="shared" ref="F219:F234" ca="1" si="33">F218+G218*dt</f>
        <v>-82.64747465610877</v>
      </c>
      <c r="G219" s="1">
        <f t="shared" ca="1" si="31"/>
        <v>-0.55789654369546349</v>
      </c>
      <c r="H219" s="1">
        <f t="shared" ca="1" si="27"/>
        <v>7.4437642710046381E-2</v>
      </c>
      <c r="I219" s="1">
        <f t="shared" ca="1" si="32"/>
        <v>-75.021062433159031</v>
      </c>
      <c r="K219" s="1">
        <f t="shared" ca="1" si="28"/>
        <v>7.0977687399280832E-3</v>
      </c>
    </row>
    <row r="220" spans="5:11" x14ac:dyDescent="0.25">
      <c r="E220" s="1">
        <f t="shared" si="29"/>
        <v>420</v>
      </c>
      <c r="F220" s="1">
        <f t="shared" ca="1" si="33"/>
        <v>-83.763267743499696</v>
      </c>
      <c r="G220" s="1">
        <f t="shared" ca="1" si="31"/>
        <v>-0.40902125827537072</v>
      </c>
      <c r="H220" s="1">
        <f t="shared" ca="1" si="27"/>
        <v>7.9139202551902252E-2</v>
      </c>
      <c r="I220" s="1">
        <f t="shared" ca="1" si="32"/>
        <v>-75.022571226817348</v>
      </c>
      <c r="K220" s="1">
        <f t="shared" ca="1" si="28"/>
        <v>-1.5087936583137341E-3</v>
      </c>
    </row>
    <row r="221" spans="5:11" x14ac:dyDescent="0.25">
      <c r="E221" s="1">
        <f t="shared" si="29"/>
        <v>422</v>
      </c>
      <c r="F221" s="1">
        <f t="shared" ca="1" si="33"/>
        <v>-84.581310260050444</v>
      </c>
      <c r="G221" s="1">
        <f t="shared" ca="1" si="31"/>
        <v>-0.25074285317156619</v>
      </c>
      <c r="H221" s="1">
        <f t="shared" ca="1" si="27"/>
        <v>8.1225998391369042E-2</v>
      </c>
      <c r="I221" s="1">
        <f t="shared" ca="1" si="32"/>
        <v>-75.02924744897723</v>
      </c>
      <c r="K221" s="1">
        <f t="shared" ca="1" si="28"/>
        <v>-6.6762221598759023E-3</v>
      </c>
    </row>
    <row r="222" spans="5:11" x14ac:dyDescent="0.25">
      <c r="E222" s="1">
        <f t="shared" si="29"/>
        <v>424</v>
      </c>
      <c r="F222" s="1">
        <f t="shared" ca="1" si="33"/>
        <v>-85.082795966393576</v>
      </c>
      <c r="G222" s="1">
        <f t="shared" ca="1" si="31"/>
        <v>-8.8290856388828109E-2</v>
      </c>
      <c r="H222" s="1">
        <f t="shared" ca="1" si="27"/>
        <v>8.0743772042971437E-2</v>
      </c>
      <c r="I222" s="1">
        <f t="shared" ca="1" si="32"/>
        <v>-75.034388646938339</v>
      </c>
      <c r="K222" s="1">
        <f t="shared" ca="1" si="28"/>
        <v>-5.1411979611054107E-3</v>
      </c>
    </row>
    <row r="223" spans="5:11" x14ac:dyDescent="0.25">
      <c r="E223" s="1">
        <f t="shared" si="29"/>
        <v>426</v>
      </c>
      <c r="F223" s="1">
        <f t="shared" ca="1" si="33"/>
        <v>-85.259377679171237</v>
      </c>
      <c r="G223" s="1">
        <f t="shared" ca="1" si="31"/>
        <v>7.3196687697114765E-2</v>
      </c>
      <c r="H223" s="1">
        <f t="shared" ca="1" si="27"/>
        <v>7.7829772673154787E-2</v>
      </c>
      <c r="I223" s="1">
        <f t="shared" ca="1" si="32"/>
        <v>-75.02970538385874</v>
      </c>
      <c r="K223" s="1">
        <f t="shared" ca="1" si="28"/>
        <v>4.6832630795974684E-3</v>
      </c>
    </row>
    <row r="224" spans="5:11" x14ac:dyDescent="0.25">
      <c r="E224" s="1">
        <f t="shared" si="29"/>
        <v>428</v>
      </c>
      <c r="F224" s="1">
        <f t="shared" ca="1" si="33"/>
        <v>-85.112984303777012</v>
      </c>
      <c r="G224" s="1">
        <f t="shared" ca="1" si="31"/>
        <v>0.22885623304342434</v>
      </c>
      <c r="H224" s="1">
        <f t="shared" ca="1" si="27"/>
        <v>7.2525687137014433E-2</v>
      </c>
      <c r="I224" s="1">
        <f t="shared" ca="1" si="32"/>
        <v>-75.028492741908011</v>
      </c>
      <c r="K224" s="1">
        <f t="shared" ca="1" si="28"/>
        <v>1.212641950729445E-3</v>
      </c>
    </row>
    <row r="225" spans="5:11" x14ac:dyDescent="0.25">
      <c r="E225" s="1">
        <f t="shared" si="29"/>
        <v>430</v>
      </c>
      <c r="F225" s="1">
        <f t="shared" ca="1" si="33"/>
        <v>-84.655271837690165</v>
      </c>
      <c r="G225" s="1">
        <f t="shared" ca="1" si="31"/>
        <v>0.37390760731745321</v>
      </c>
      <c r="H225" s="1">
        <f t="shared" ca="1" si="27"/>
        <v>6.5114786816645912E-2</v>
      </c>
      <c r="I225" s="1">
        <f t="shared" ca="1" si="32"/>
        <v>-75.0225140565679</v>
      </c>
      <c r="K225" s="1">
        <f t="shared" ca="1" si="28"/>
        <v>5.9786853401047396E-3</v>
      </c>
    </row>
    <row r="226" spans="5:11" x14ac:dyDescent="0.25">
      <c r="E226" s="1">
        <f t="shared" si="29"/>
        <v>432</v>
      </c>
      <c r="F226" s="1">
        <f t="shared" ca="1" si="33"/>
        <v>-83.907456623055253</v>
      </c>
      <c r="G226" s="1">
        <f t="shared" ca="1" si="31"/>
        <v>0.504137180950745</v>
      </c>
      <c r="H226" s="1">
        <f t="shared" ca="1" si="27"/>
        <v>5.5794754723320676E-2</v>
      </c>
      <c r="I226" s="1">
        <f t="shared" ca="1" si="32"/>
        <v>-75.022119293209016</v>
      </c>
      <c r="K226" s="1">
        <f t="shared" ca="1" si="28"/>
        <v>3.9476335888668948E-4</v>
      </c>
    </row>
    <row r="227" spans="5:11" x14ac:dyDescent="0.25">
      <c r="E227" s="1">
        <f t="shared" si="29"/>
        <v>434</v>
      </c>
      <c r="F227" s="1">
        <f t="shared" ca="1" si="33"/>
        <v>-82.899182261153769</v>
      </c>
      <c r="G227" s="1">
        <f t="shared" ca="1" si="31"/>
        <v>0.61572669039738637</v>
      </c>
      <c r="H227" s="1">
        <f t="shared" ca="1" si="27"/>
        <v>4.4940630506445381E-2</v>
      </c>
      <c r="I227" s="1">
        <f t="shared" ca="1" si="32"/>
        <v>-75.021989208705648</v>
      </c>
      <c r="K227" s="1">
        <f t="shared" ca="1" si="28"/>
        <v>1.3008450337455901E-4</v>
      </c>
    </row>
    <row r="228" spans="5:11" x14ac:dyDescent="0.25">
      <c r="E228" s="1">
        <f t="shared" si="29"/>
        <v>436</v>
      </c>
      <c r="F228" s="1">
        <f t="shared" ca="1" si="33"/>
        <v>-81.667728880358993</v>
      </c>
      <c r="G228" s="1">
        <f t="shared" ca="1" si="31"/>
        <v>0.7056079514102771</v>
      </c>
      <c r="H228" s="1">
        <f t="shared" ca="1" si="27"/>
        <v>3.287125122645488E-2</v>
      </c>
      <c r="I228" s="1">
        <f t="shared" ca="1" si="32"/>
        <v>-75.029069351608953</v>
      </c>
      <c r="K228" s="1">
        <f t="shared" ca="1" si="28"/>
        <v>-7.0801429033059485E-3</v>
      </c>
    </row>
    <row r="229" spans="5:11" x14ac:dyDescent="0.25">
      <c r="E229" s="1">
        <f t="shared" si="29"/>
        <v>438</v>
      </c>
      <c r="F229" s="1">
        <f t="shared" ca="1" si="33"/>
        <v>-80.256512977538435</v>
      </c>
      <c r="G229" s="1">
        <f t="shared" ca="1" si="31"/>
        <v>0.7713504538631869</v>
      </c>
      <c r="H229" s="1">
        <f t="shared" ca="1" si="27"/>
        <v>2.0085817722753939E-2</v>
      </c>
      <c r="I229" s="1">
        <f t="shared" ca="1" si="32"/>
        <v>-75.031127094681082</v>
      </c>
      <c r="K229" s="1">
        <f t="shared" ca="1" si="28"/>
        <v>-2.0577430721344281E-3</v>
      </c>
    </row>
    <row r="230" spans="5:11" x14ac:dyDescent="0.25">
      <c r="E230" s="1">
        <f t="shared" si="29"/>
        <v>440</v>
      </c>
      <c r="F230" s="1">
        <f t="shared" ca="1" si="33"/>
        <v>-78.713812069812064</v>
      </c>
      <c r="G230" s="1">
        <f t="shared" ca="1" si="31"/>
        <v>0.81152208930869474</v>
      </c>
      <c r="H230" s="1">
        <f t="shared" ca="1" si="27"/>
        <v>6.9226860641245121E-3</v>
      </c>
      <c r="I230" s="1">
        <f t="shared" ca="1" si="32"/>
        <v>-75.037981549607252</v>
      </c>
      <c r="K230" s="1">
        <f t="shared" ca="1" si="28"/>
        <v>-6.8544549261772203E-3</v>
      </c>
    </row>
    <row r="231" spans="5:11" x14ac:dyDescent="0.25">
      <c r="E231" s="1">
        <f t="shared" si="29"/>
        <v>442</v>
      </c>
      <c r="F231" s="1">
        <f t="shared" ca="1" si="33"/>
        <v>-77.090767891194673</v>
      </c>
      <c r="G231" s="1">
        <f t="shared" ca="1" si="31"/>
        <v>0.82536746143694373</v>
      </c>
      <c r="H231" s="1">
        <f t="shared" ca="1" si="27"/>
        <v>-6.0851058761723469E-3</v>
      </c>
      <c r="I231" s="1">
        <f t="shared" ca="1" si="32"/>
        <v>-75.035031725766757</v>
      </c>
      <c r="K231" s="1">
        <f t="shared" ca="1" si="28"/>
        <v>2.949823840488832E-3</v>
      </c>
    </row>
    <row r="232" spans="5:11" x14ac:dyDescent="0.25">
      <c r="E232" s="1">
        <f t="shared" si="29"/>
        <v>444</v>
      </c>
      <c r="F232" s="1">
        <f t="shared" ca="1" si="33"/>
        <v>-75.440032968320793</v>
      </c>
      <c r="G232" s="1">
        <f t="shared" ca="1" si="31"/>
        <v>0.81319724968459906</v>
      </c>
      <c r="H232" s="1">
        <f t="shared" ca="1" si="27"/>
        <v>-1.8678424405762444E-2</v>
      </c>
      <c r="I232" s="1">
        <f t="shared" ca="1" si="32"/>
        <v>-75.040640418861202</v>
      </c>
      <c r="K232" s="1">
        <f t="shared" ca="1" si="28"/>
        <v>-5.6086930944415836E-3</v>
      </c>
    </row>
    <row r="233" spans="5:11" x14ac:dyDescent="0.25">
      <c r="E233" s="1">
        <f t="shared" si="29"/>
        <v>446</v>
      </c>
      <c r="F233" s="1">
        <f t="shared" ca="1" si="33"/>
        <v>-73.813638468951595</v>
      </c>
      <c r="G233" s="1">
        <f t="shared" ca="1" si="31"/>
        <v>0.77584040087307415</v>
      </c>
      <c r="H233" s="1">
        <f t="shared" ca="1" si="27"/>
        <v>-3.0354298848840344E-2</v>
      </c>
      <c r="I233" s="1">
        <f t="shared" ca="1" si="32"/>
        <v>-75.039507200418512</v>
      </c>
      <c r="K233" s="1">
        <f t="shared" ca="1" si="28"/>
        <v>1.1332184426899562E-3</v>
      </c>
    </row>
    <row r="234" spans="5:11" x14ac:dyDescent="0.25">
      <c r="E234" s="1">
        <f t="shared" si="29"/>
        <v>448</v>
      </c>
      <c r="F234" s="1">
        <f t="shared" ca="1" si="33"/>
        <v>-72.261957667205451</v>
      </c>
      <c r="G234" s="1">
        <f t="shared" ca="1" si="31"/>
        <v>0.71513180317539349</v>
      </c>
      <c r="H234" s="1">
        <f t="shared" ca="1" si="27"/>
        <v>-4.0814505782653818E-2</v>
      </c>
      <c r="I234" s="1">
        <f t="shared" ca="1" si="32"/>
        <v>-75.037467084840486</v>
      </c>
      <c r="K234" s="1">
        <f t="shared" ca="1" si="28"/>
        <v>2.0401155780202362E-3</v>
      </c>
    </row>
    <row r="235" spans="5:11" x14ac:dyDescent="0.25">
      <c r="E235" s="1">
        <f t="shared" si="29"/>
        <v>450</v>
      </c>
      <c r="F235" s="1">
        <f t="shared" ref="F235:F250" ca="1" si="34">F234+G234*dt</f>
        <v>-70.831694060854659</v>
      </c>
      <c r="G235" s="1">
        <f t="shared" ca="1" si="31"/>
        <v>0.63350279161008582</v>
      </c>
      <c r="H235" s="1">
        <f t="shared" ca="1" si="27"/>
        <v>-4.9779326212703798E-2</v>
      </c>
      <c r="I235" s="1">
        <f t="shared" ca="1" si="32"/>
        <v>-75.037008342592287</v>
      </c>
      <c r="J235" t="s">
        <v>20</v>
      </c>
      <c r="K235" s="1">
        <f t="shared" ca="1" si="28"/>
        <v>4.5874224820087407E-4</v>
      </c>
    </row>
    <row r="236" spans="5:11" x14ac:dyDescent="0.25">
      <c r="E236" s="1">
        <f t="shared" si="29"/>
        <v>452</v>
      </c>
      <c r="F236" s="1">
        <f t="shared" ca="1" si="34"/>
        <v>-69.56468847763449</v>
      </c>
      <c r="G236" s="1">
        <f t="shared" ca="1" si="31"/>
        <v>0.5339441391846782</v>
      </c>
      <c r="H236" s="1">
        <f t="shared" ca="1" si="27"/>
        <v>-5.6988646811692502E-2</v>
      </c>
      <c r="I236" s="1">
        <f t="shared" ca="1" si="32"/>
        <v>-75.036347949627199</v>
      </c>
      <c r="K236" s="1">
        <f t="shared" ca="1" si="28"/>
        <v>6.6039296509001755E-4</v>
      </c>
    </row>
    <row r="237" spans="5:11" x14ac:dyDescent="0.25">
      <c r="E237" s="1">
        <f t="shared" si="29"/>
        <v>454</v>
      </c>
      <c r="F237" s="1">
        <f t="shared" ca="1" si="34"/>
        <v>-68.496800199265138</v>
      </c>
      <c r="G237" s="1">
        <f t="shared" ca="1" si="31"/>
        <v>0.41996684556129321</v>
      </c>
      <c r="H237" s="1">
        <f t="shared" ca="1" si="27"/>
        <v>-6.232751581721379E-2</v>
      </c>
      <c r="I237" s="1">
        <f t="shared" ca="1" si="32"/>
        <v>-75.044544347492206</v>
      </c>
      <c r="K237" s="1">
        <f t="shared" ca="1" si="28"/>
        <v>-8.1963978650126373E-3</v>
      </c>
    </row>
    <row r="238" spans="5:11" x14ac:dyDescent="0.25">
      <c r="E238" s="1">
        <f t="shared" si="29"/>
        <v>456</v>
      </c>
      <c r="F238" s="1">
        <f t="shared" ca="1" si="34"/>
        <v>-67.656866508142556</v>
      </c>
      <c r="G238" s="1">
        <f t="shared" ca="1" si="31"/>
        <v>0.29531181392686562</v>
      </c>
      <c r="H238" s="1">
        <f t="shared" ca="1" si="27"/>
        <v>-6.5526647094075186E-2</v>
      </c>
      <c r="I238" s="1">
        <f t="shared" ca="1" si="32"/>
        <v>-75.043057595429119</v>
      </c>
      <c r="K238" s="1">
        <f t="shared" ca="1" si="28"/>
        <v>1.4867520630894204E-3</v>
      </c>
    </row>
    <row r="239" spans="5:11" x14ac:dyDescent="0.25">
      <c r="E239" s="1">
        <f t="shared" si="29"/>
        <v>458</v>
      </c>
      <c r="F239" s="1">
        <f t="shared" ca="1" si="34"/>
        <v>-67.066242880288826</v>
      </c>
      <c r="G239" s="1">
        <f t="shared" ca="1" si="31"/>
        <v>0.16425851973871525</v>
      </c>
      <c r="H239" s="1">
        <f t="shared" ca="1" si="27"/>
        <v>-6.66869421676098E-2</v>
      </c>
      <c r="I239" s="1">
        <f t="shared" ca="1" si="32"/>
        <v>-75.051475423700651</v>
      </c>
      <c r="K239" s="1">
        <f t="shared" ca="1" si="28"/>
        <v>-8.4178282715318669E-3</v>
      </c>
    </row>
    <row r="240" spans="5:11" x14ac:dyDescent="0.25">
      <c r="E240" s="1">
        <f t="shared" si="29"/>
        <v>460</v>
      </c>
      <c r="F240" s="1">
        <f t="shared" ca="1" si="34"/>
        <v>-66.737725840811393</v>
      </c>
      <c r="G240" s="1">
        <f t="shared" ca="1" si="31"/>
        <v>3.0884635403495647E-2</v>
      </c>
      <c r="H240" s="1">
        <f t="shared" ca="1" si="27"/>
        <v>-6.5671018491602839E-2</v>
      </c>
      <c r="I240" s="1">
        <f t="shared" ca="1" si="32"/>
        <v>-75.050970746297182</v>
      </c>
      <c r="K240" s="1">
        <f t="shared" ca="1" si="28"/>
        <v>5.0467740347388108E-4</v>
      </c>
    </row>
    <row r="241" spans="5:11" x14ac:dyDescent="0.25">
      <c r="E241" s="1">
        <f t="shared" si="29"/>
        <v>462</v>
      </c>
      <c r="F241" s="1">
        <f t="shared" ca="1" si="34"/>
        <v>-66.675956570004402</v>
      </c>
      <c r="G241" s="1">
        <f t="shared" ca="1" si="31"/>
        <v>-0.10045740157971003</v>
      </c>
      <c r="H241" s="1">
        <f t="shared" ca="1" si="27"/>
        <v>-6.263642747267692E-2</v>
      </c>
      <c r="I241" s="1">
        <f t="shared" ca="1" si="32"/>
        <v>-75.051429112954807</v>
      </c>
      <c r="K241" s="1">
        <f t="shared" ca="1" si="28"/>
        <v>-4.5836665763135056E-4</v>
      </c>
    </row>
    <row r="242" spans="5:11" x14ac:dyDescent="0.25">
      <c r="E242" s="1">
        <f t="shared" si="29"/>
        <v>464</v>
      </c>
      <c r="F242" s="1">
        <f t="shared" ca="1" si="34"/>
        <v>-66.876871373163823</v>
      </c>
      <c r="G242" s="1">
        <f t="shared" ca="1" si="31"/>
        <v>-0.22573025652506387</v>
      </c>
      <c r="H242" s="1">
        <f t="shared" ca="1" si="27"/>
        <v>-5.770278408994025E-2</v>
      </c>
      <c r="I242" s="1">
        <f t="shared" ca="1" si="32"/>
        <v>-75.050250214806383</v>
      </c>
      <c r="K242" s="1">
        <f t="shared" ca="1" si="28"/>
        <v>1.1788981484286199E-3</v>
      </c>
    </row>
    <row r="243" spans="5:11" x14ac:dyDescent="0.25">
      <c r="E243" s="1">
        <f t="shared" si="29"/>
        <v>466</v>
      </c>
      <c r="F243" s="1">
        <f t="shared" ca="1" si="34"/>
        <v>-67.328331886213945</v>
      </c>
      <c r="G243" s="1">
        <f t="shared" ca="1" si="31"/>
        <v>-0.34113582470494436</v>
      </c>
      <c r="H243" s="1">
        <f t="shared" ca="1" si="27"/>
        <v>-5.1049428826974226E-2</v>
      </c>
      <c r="I243" s="1">
        <f t="shared" ca="1" si="32"/>
        <v>-75.04523815917122</v>
      </c>
      <c r="K243" s="1">
        <f t="shared" ca="1" si="28"/>
        <v>5.0120556351690923E-3</v>
      </c>
    </row>
    <row r="244" spans="5:11" x14ac:dyDescent="0.25">
      <c r="E244" s="1">
        <f t="shared" si="29"/>
        <v>468</v>
      </c>
      <c r="F244" s="1">
        <f t="shared" ca="1" si="34"/>
        <v>-68.010603535623829</v>
      </c>
      <c r="G244" s="1">
        <f t="shared" ca="1" si="31"/>
        <v>-0.4432346823588928</v>
      </c>
      <c r="H244" s="1">
        <f t="shared" ca="1" si="27"/>
        <v>-4.3043492891452324E-2</v>
      </c>
      <c r="I244" s="1">
        <f t="shared" ca="1" si="32"/>
        <v>-75.051908968786734</v>
      </c>
      <c r="K244" s="1">
        <f t="shared" ca="1" si="28"/>
        <v>-6.6708096155160494E-3</v>
      </c>
    </row>
    <row r="245" spans="5:11" x14ac:dyDescent="0.25">
      <c r="E245" s="1">
        <f t="shared" si="29"/>
        <v>470</v>
      </c>
      <c r="F245" s="1">
        <f t="shared" ca="1" si="34"/>
        <v>-68.897072900341612</v>
      </c>
      <c r="G245" s="1">
        <f t="shared" ca="1" si="31"/>
        <v>-0.52932166814179749</v>
      </c>
      <c r="H245" s="1">
        <f t="shared" ca="1" si="27"/>
        <v>-3.3896147214084099E-2</v>
      </c>
      <c r="I245" s="1">
        <f t="shared" ca="1" si="32"/>
        <v>-75.061427761916519</v>
      </c>
      <c r="K245" s="1">
        <f t="shared" ca="1" si="28"/>
        <v>-9.5187931297909239E-3</v>
      </c>
    </row>
    <row r="246" spans="5:11" x14ac:dyDescent="0.25">
      <c r="E246" s="1">
        <f t="shared" si="29"/>
        <v>472</v>
      </c>
      <c r="F246" s="1">
        <f t="shared" ca="1" si="34"/>
        <v>-69.955716236625207</v>
      </c>
      <c r="G246" s="1">
        <f t="shared" ca="1" si="31"/>
        <v>-0.59711396256996574</v>
      </c>
      <c r="H246" s="1">
        <f t="shared" ca="1" si="27"/>
        <v>-2.3769405240539561E-2</v>
      </c>
      <c r="I246" s="1">
        <f t="shared" ca="1" si="32"/>
        <v>-75.054698215780931</v>
      </c>
      <c r="K246" s="1">
        <f t="shared" ca="1" si="28"/>
        <v>6.7295461355815255E-3</v>
      </c>
    </row>
    <row r="247" spans="5:11" x14ac:dyDescent="0.25">
      <c r="E247" s="1">
        <f t="shared" si="29"/>
        <v>474</v>
      </c>
      <c r="F247" s="1">
        <f t="shared" ca="1" si="34"/>
        <v>-71.149944161765134</v>
      </c>
      <c r="G247" s="1">
        <f t="shared" ca="1" si="31"/>
        <v>-0.64465277305104485</v>
      </c>
      <c r="H247" s="1">
        <f t="shared" ca="1" si="27"/>
        <v>-1.3141871314905459E-2</v>
      </c>
      <c r="I247" s="1">
        <f t="shared" ca="1" si="32"/>
        <v>-75.049760268518142</v>
      </c>
      <c r="K247" s="1">
        <f t="shared" ca="1" si="28"/>
        <v>4.9379472627860046E-3</v>
      </c>
    </row>
    <row r="248" spans="5:11" x14ac:dyDescent="0.25">
      <c r="E248" s="1">
        <f t="shared" si="29"/>
        <v>476</v>
      </c>
      <c r="F248" s="1">
        <f t="shared" ca="1" si="34"/>
        <v>-72.439249707867219</v>
      </c>
      <c r="G248" s="1">
        <f t="shared" ca="1" si="31"/>
        <v>-0.67093651568085577</v>
      </c>
      <c r="H248" s="1">
        <f t="shared" ca="1" si="27"/>
        <v>-2.4583684618406064E-3</v>
      </c>
      <c r="I248" s="1">
        <f t="shared" ca="1" si="32"/>
        <v>-75.05969420557075</v>
      </c>
      <c r="K248" s="1">
        <f t="shared" ca="1" si="28"/>
        <v>-9.9339370526144236E-3</v>
      </c>
    </row>
    <row r="249" spans="5:11" x14ac:dyDescent="0.25">
      <c r="E249" s="1">
        <f t="shared" si="29"/>
        <v>478</v>
      </c>
      <c r="F249" s="1">
        <f t="shared" ca="1" si="34"/>
        <v>-73.781122739228934</v>
      </c>
      <c r="G249" s="1">
        <f t="shared" ca="1" si="31"/>
        <v>-0.67585325260453699</v>
      </c>
      <c r="H249" s="1">
        <f t="shared" ca="1" si="27"/>
        <v>8.1314124958962366E-3</v>
      </c>
      <c r="I249" s="1">
        <f t="shared" ca="1" si="32"/>
        <v>-75.060796415370646</v>
      </c>
      <c r="K249" s="1">
        <f t="shared" ca="1" si="28"/>
        <v>-1.1022097998969051E-3</v>
      </c>
    </row>
    <row r="250" spans="5:11" x14ac:dyDescent="0.25">
      <c r="E250" s="1">
        <f t="shared" si="29"/>
        <v>480</v>
      </c>
      <c r="F250" s="1">
        <f t="shared" ca="1" si="34"/>
        <v>-75.132829244438014</v>
      </c>
      <c r="G250" s="1">
        <f t="shared" ca="1" si="31"/>
        <v>-0.65959042761274456</v>
      </c>
      <c r="H250" s="1">
        <f t="shared" ca="1" si="27"/>
        <v>1.8278627278730277E-2</v>
      </c>
      <c r="I250" s="1">
        <f t="shared" ca="1" si="32"/>
        <v>-75.055700549731768</v>
      </c>
      <c r="K250" s="1">
        <f t="shared" ca="1" si="28"/>
        <v>5.0958656388752615E-3</v>
      </c>
    </row>
    <row r="251" spans="5:11" x14ac:dyDescent="0.25">
      <c r="E251" s="1">
        <f t="shared" si="29"/>
        <v>482</v>
      </c>
      <c r="F251" s="1">
        <f t="shared" ref="F251:F266" ca="1" si="35">F250+G250*dt</f>
        <v>-76.452010099663497</v>
      </c>
      <c r="G251" s="1">
        <f t="shared" ca="1" si="31"/>
        <v>-0.62303317305528405</v>
      </c>
      <c r="H251" s="1">
        <f t="shared" ca="1" si="27"/>
        <v>2.762768315299044E-2</v>
      </c>
      <c r="I251" s="1">
        <f t="shared" ca="1" si="32"/>
        <v>-75.05067752080339</v>
      </c>
      <c r="K251" s="1">
        <f t="shared" ca="1" si="28"/>
        <v>5.0230289283764804E-3</v>
      </c>
    </row>
    <row r="252" spans="5:11" x14ac:dyDescent="0.25">
      <c r="E252" s="1">
        <f t="shared" si="29"/>
        <v>484</v>
      </c>
      <c r="F252" s="1">
        <f t="shared" ca="1" si="35"/>
        <v>-77.698076445774063</v>
      </c>
      <c r="G252" s="1">
        <f t="shared" ca="1" si="31"/>
        <v>-0.56777780674930312</v>
      </c>
      <c r="H252" s="1">
        <f t="shared" ca="1" si="27"/>
        <v>3.5863647649011898E-2</v>
      </c>
      <c r="I252" s="1">
        <f t="shared" ca="1" si="32"/>
        <v>-75.050999211398349</v>
      </c>
      <c r="K252" s="1">
        <f t="shared" ca="1" si="28"/>
        <v>-3.2169059495411599E-4</v>
      </c>
    </row>
    <row r="253" spans="5:11" x14ac:dyDescent="0.25">
      <c r="E253" s="1">
        <f t="shared" si="29"/>
        <v>486</v>
      </c>
      <c r="F253" s="1">
        <f t="shared" ca="1" si="35"/>
        <v>-78.833632059272674</v>
      </c>
      <c r="G253" s="1">
        <f t="shared" ca="1" si="31"/>
        <v>-0.49605051145127932</v>
      </c>
      <c r="H253" s="1">
        <f t="shared" ca="1" si="27"/>
        <v>4.286741410117733E-2</v>
      </c>
      <c r="I253" s="1">
        <f t="shared" ca="1" si="32"/>
        <v>-75.042188418979975</v>
      </c>
      <c r="K253" s="1">
        <f t="shared" ca="1" si="28"/>
        <v>8.8107924183728741E-3</v>
      </c>
    </row>
    <row r="254" spans="5:11" x14ac:dyDescent="0.25">
      <c r="E254" s="1">
        <f t="shared" si="29"/>
        <v>488</v>
      </c>
      <c r="F254" s="1">
        <f t="shared" ca="1" si="35"/>
        <v>-79.825733082175233</v>
      </c>
      <c r="G254" s="1">
        <f t="shared" ca="1" si="31"/>
        <v>-0.41031568324892465</v>
      </c>
      <c r="H254" s="1">
        <f t="shared" ca="1" si="27"/>
        <v>4.8296272177029448E-2</v>
      </c>
      <c r="I254" s="1">
        <f t="shared" ca="1" si="32"/>
        <v>-75.043705919872892</v>
      </c>
      <c r="K254" s="1">
        <f t="shared" ca="1" si="28"/>
        <v>-1.5175008929098756E-3</v>
      </c>
    </row>
    <row r="255" spans="5:11" x14ac:dyDescent="0.25">
      <c r="E255" s="1">
        <f t="shared" si="29"/>
        <v>490</v>
      </c>
      <c r="F255" s="1">
        <f t="shared" ca="1" si="35"/>
        <v>-80.646364448673083</v>
      </c>
      <c r="G255" s="1">
        <f t="shared" ca="1" si="31"/>
        <v>-0.31372313889486575</v>
      </c>
      <c r="H255" s="1">
        <f t="shared" ca="1" si="27"/>
        <v>5.2169871132008175E-2</v>
      </c>
      <c r="I255" s="1">
        <f t="shared" ca="1" si="32"/>
        <v>-75.035839960259523</v>
      </c>
      <c r="K255" s="1">
        <f t="shared" ca="1" si="28"/>
        <v>7.8659596133752469E-3</v>
      </c>
    </row>
    <row r="256" spans="5:11" x14ac:dyDescent="0.25">
      <c r="E256" s="1">
        <f t="shared" si="29"/>
        <v>492</v>
      </c>
      <c r="F256" s="1">
        <f t="shared" ca="1" si="35"/>
        <v>-81.273810726462813</v>
      </c>
      <c r="G256" s="1">
        <f t="shared" ca="1" si="31"/>
        <v>-0.2093833966308494</v>
      </c>
      <c r="H256" s="1">
        <f t="shared" ca="1" si="27"/>
        <v>5.4222140495367374E-2</v>
      </c>
      <c r="I256" s="1">
        <f t="shared" ca="1" si="32"/>
        <v>-75.041674128301196</v>
      </c>
      <c r="K256" s="1">
        <f t="shared" ca="1" si="28"/>
        <v>-5.8341680416762447E-3</v>
      </c>
    </row>
    <row r="257" spans="5:11" x14ac:dyDescent="0.25">
      <c r="E257" s="1">
        <f t="shared" si="29"/>
        <v>494</v>
      </c>
      <c r="F257" s="1">
        <f t="shared" ca="1" si="35"/>
        <v>-81.692577519724509</v>
      </c>
      <c r="G257" s="1">
        <f t="shared" ca="1" si="31"/>
        <v>-0.10093911564011465</v>
      </c>
      <c r="H257" s="1">
        <f t="shared" ca="1" si="27"/>
        <v>5.4566236970362496E-2</v>
      </c>
      <c r="I257" s="1">
        <f t="shared" ca="1" si="32"/>
        <v>-75.043722561877402</v>
      </c>
      <c r="K257" s="1">
        <f t="shared" ca="1" si="28"/>
        <v>-2.048433576200397E-3</v>
      </c>
    </row>
    <row r="258" spans="5:11" x14ac:dyDescent="0.25">
      <c r="E258" s="1">
        <f t="shared" si="29"/>
        <v>496</v>
      </c>
      <c r="F258" s="1">
        <f t="shared" ca="1" si="35"/>
        <v>-81.894455751004742</v>
      </c>
      <c r="G258" s="1">
        <f t="shared" ca="1" si="31"/>
        <v>8.19335830061034E-3</v>
      </c>
      <c r="H258" s="1">
        <f t="shared" ca="1" si="27"/>
        <v>5.3288320275385562E-2</v>
      </c>
      <c r="I258" s="1">
        <f t="shared" ca="1" si="32"/>
        <v>-75.034468279486546</v>
      </c>
      <c r="K258" s="1">
        <f t="shared" ca="1" si="28"/>
        <v>9.2542823908502887E-3</v>
      </c>
    </row>
    <row r="259" spans="5:11" x14ac:dyDescent="0.25">
      <c r="E259" s="1">
        <f t="shared" si="29"/>
        <v>498</v>
      </c>
      <c r="F259" s="1">
        <f t="shared" ca="1" si="35"/>
        <v>-81.878069034403524</v>
      </c>
      <c r="G259" s="1">
        <f t="shared" ca="1" si="31"/>
        <v>0.11476999885138146</v>
      </c>
      <c r="H259" s="1">
        <f t="shared" ca="1" si="27"/>
        <v>5.0288956503771118E-2</v>
      </c>
      <c r="I259" s="1">
        <f t="shared" ca="1" si="32"/>
        <v>-75.036428973764018</v>
      </c>
      <c r="K259" s="1">
        <f t="shared" ca="1" si="28"/>
        <v>-1.9606942774670101E-3</v>
      </c>
    </row>
    <row r="260" spans="5:11" x14ac:dyDescent="0.25">
      <c r="E260" s="1">
        <f t="shared" si="29"/>
        <v>500</v>
      </c>
      <c r="F260" s="1">
        <f t="shared" ca="1" si="35"/>
        <v>-81.648529036700765</v>
      </c>
      <c r="G260" s="1">
        <f t="shared" ca="1" si="31"/>
        <v>0.21534791185892371</v>
      </c>
      <c r="H260" s="1">
        <f t="shared" ca="1" si="27"/>
        <v>4.5736901162751503E-2</v>
      </c>
      <c r="I260" s="1">
        <f t="shared" ca="1" si="32"/>
        <v>-75.044910421242989</v>
      </c>
      <c r="K260" s="1">
        <f t="shared" ca="1" si="28"/>
        <v>-8.4814474789682501E-3</v>
      </c>
    </row>
    <row r="261" spans="5:11" x14ac:dyDescent="0.25">
      <c r="E261" s="1">
        <f t="shared" si="29"/>
        <v>502</v>
      </c>
      <c r="F261" s="1">
        <f t="shared" ca="1" si="35"/>
        <v>-81.217833212982924</v>
      </c>
      <c r="G261" s="1">
        <f t="shared" ca="1" si="31"/>
        <v>0.30682171418442672</v>
      </c>
      <c r="H261" s="1">
        <f t="shared" ca="1" si="27"/>
        <v>3.9994574780922901E-2</v>
      </c>
      <c r="I261" s="1">
        <f t="shared" ca="1" si="32"/>
        <v>-75.036115684641189</v>
      </c>
      <c r="K261" s="1">
        <f t="shared" ca="1" si="28"/>
        <v>8.7947366017978885E-3</v>
      </c>
    </row>
    <row r="262" spans="5:11" x14ac:dyDescent="0.25">
      <c r="E262" s="1">
        <f t="shared" si="29"/>
        <v>504</v>
      </c>
      <c r="F262" s="1">
        <f t="shared" ca="1" si="35"/>
        <v>-80.604189784614064</v>
      </c>
      <c r="G262" s="1">
        <f t="shared" ca="1" si="31"/>
        <v>0.38681086374627249</v>
      </c>
      <c r="H262" s="1">
        <f t="shared" ca="1" si="27"/>
        <v>3.3032225551660369E-2</v>
      </c>
      <c r="I262" s="1">
        <f t="shared" ca="1" si="32"/>
        <v>-75.040246617939644</v>
      </c>
      <c r="K262" s="1">
        <f t="shared" ca="1" si="28"/>
        <v>-4.1309332984573958E-3</v>
      </c>
    </row>
    <row r="263" spans="5:11" x14ac:dyDescent="0.25">
      <c r="E263" s="1">
        <f t="shared" si="29"/>
        <v>506</v>
      </c>
      <c r="F263" s="1">
        <f t="shared" ca="1" si="35"/>
        <v>-79.830568057121525</v>
      </c>
      <c r="G263" s="1">
        <f t="shared" ca="1" si="31"/>
        <v>0.4528753148495932</v>
      </c>
      <c r="H263" s="1">
        <f t="shared" ca="1" si="27"/>
        <v>2.5222038615149767E-2</v>
      </c>
      <c r="I263" s="1">
        <f t="shared" ca="1" si="32"/>
        <v>-75.040940229798593</v>
      </c>
      <c r="K263" s="1">
        <f t="shared" ca="1" si="28"/>
        <v>-6.9361185895467476E-4</v>
      </c>
    </row>
    <row r="264" spans="5:11" x14ac:dyDescent="0.25">
      <c r="E264" s="1">
        <f t="shared" si="29"/>
        <v>508</v>
      </c>
      <c r="F264" s="1">
        <f t="shared" ca="1" si="35"/>
        <v>-78.92481742742234</v>
      </c>
      <c r="G264" s="1">
        <f t="shared" ca="1" si="31"/>
        <v>0.50331939207989274</v>
      </c>
      <c r="H264" s="1">
        <f t="shared" ca="1" si="27"/>
        <v>1.6771668762115638E-2</v>
      </c>
      <c r="I264" s="1">
        <f t="shared" ca="1" si="32"/>
        <v>-75.045249674876601</v>
      </c>
      <c r="K264" s="1">
        <f t="shared" ca="1" si="28"/>
        <v>-4.3094450780043637E-3</v>
      </c>
    </row>
    <row r="265" spans="5:11" x14ac:dyDescent="0.25">
      <c r="E265" s="1">
        <f t="shared" si="29"/>
        <v>510</v>
      </c>
      <c r="F265" s="1">
        <f t="shared" ca="1" si="35"/>
        <v>-77.91817864326255</v>
      </c>
      <c r="G265" s="1">
        <f t="shared" ca="1" si="31"/>
        <v>0.53686272960412396</v>
      </c>
      <c r="H265" s="1">
        <f t="shared" ca="1" si="27"/>
        <v>7.9720696975490429E-3</v>
      </c>
      <c r="I265" s="1">
        <f t="shared" ca="1" si="32"/>
        <v>-75.051513149552349</v>
      </c>
      <c r="K265" s="1">
        <f t="shared" ca="1" si="28"/>
        <v>-6.2634746757497589E-3</v>
      </c>
    </row>
    <row r="266" spans="5:11" x14ac:dyDescent="0.25">
      <c r="E266" s="1">
        <f t="shared" si="29"/>
        <v>512</v>
      </c>
      <c r="F266" s="1">
        <f t="shared" ca="1" si="35"/>
        <v>-76.844453184054302</v>
      </c>
      <c r="G266" s="1">
        <f t="shared" ca="1" si="31"/>
        <v>0.55280686899922205</v>
      </c>
      <c r="H266" s="1">
        <f t="shared" ref="H266:H329" ca="1" si="36">-k*(F266-I266)/m-(b+bb)*G266</f>
        <v>-7.5957000930520005E-4</v>
      </c>
      <c r="I266" s="1">
        <f t="shared" ca="1" si="32"/>
        <v>-75.042446250737129</v>
      </c>
      <c r="K266" s="1">
        <f t="shared" ref="K266:K329" ca="1" si="37">NoiseAmp*(0.5-RAND())</f>
        <v>9.0668988152268204E-3</v>
      </c>
    </row>
    <row r="267" spans="5:11" x14ac:dyDescent="0.25">
      <c r="E267" s="1">
        <f t="shared" ref="E267:E330" si="38">E266+dt</f>
        <v>514</v>
      </c>
      <c r="F267" s="1">
        <f t="shared" ref="F267:F282" ca="1" si="39">F266+G266*dt</f>
        <v>-75.738839446055863</v>
      </c>
      <c r="G267" s="1">
        <f t="shared" ref="G267:G330" ca="1" si="40">IF(ABS(F267)&gt;100,-1.2*G266,G266+H266*dt)</f>
        <v>0.55128772898061162</v>
      </c>
      <c r="H267" s="1">
        <f t="shared" ca="1" si="36"/>
        <v>-9.4041526709460251E-3</v>
      </c>
      <c r="I267" s="1">
        <f t="shared" ca="1" si="32"/>
        <v>-75.050331950448893</v>
      </c>
      <c r="K267" s="1">
        <f t="shared" ca="1" si="37"/>
        <v>-7.8856997117626084E-3</v>
      </c>
    </row>
    <row r="268" spans="5:11" x14ac:dyDescent="0.25">
      <c r="E268" s="1">
        <f t="shared" si="38"/>
        <v>516</v>
      </c>
      <c r="F268" s="1">
        <f t="shared" ca="1" si="39"/>
        <v>-74.63626398809464</v>
      </c>
      <c r="G268" s="1">
        <f t="shared" ca="1" si="40"/>
        <v>0.53247942363871958</v>
      </c>
      <c r="H268" s="1">
        <f t="shared" ca="1" si="36"/>
        <v>-1.7504902716886844E-2</v>
      </c>
      <c r="I268" s="1">
        <f t="shared" ref="I268:I331" ca="1" si="41">I267+K268</f>
        <v>-75.050937598782994</v>
      </c>
      <c r="K268" s="1">
        <f t="shared" ca="1" si="37"/>
        <v>-6.0564833410381219E-4</v>
      </c>
    </row>
    <row r="269" spans="5:11" x14ac:dyDescent="0.25">
      <c r="E269" s="1">
        <f t="shared" si="38"/>
        <v>518</v>
      </c>
      <c r="F269" s="1">
        <f t="shared" ca="1" si="39"/>
        <v>-73.571305140817202</v>
      </c>
      <c r="G269" s="1">
        <f t="shared" ca="1" si="40"/>
        <v>0.4974696182049459</v>
      </c>
      <c r="H269" s="1">
        <f t="shared" ca="1" si="36"/>
        <v>-2.4930148583530837E-2</v>
      </c>
      <c r="I269" s="1">
        <f t="shared" ca="1" si="41"/>
        <v>-75.058223450514419</v>
      </c>
      <c r="K269" s="1">
        <f t="shared" ca="1" si="37"/>
        <v>-7.2858517314250059E-3</v>
      </c>
    </row>
    <row r="270" spans="5:11" x14ac:dyDescent="0.25">
      <c r="E270" s="1">
        <f t="shared" si="38"/>
        <v>520</v>
      </c>
      <c r="F270" s="1">
        <f t="shared" ca="1" si="39"/>
        <v>-72.576365904407311</v>
      </c>
      <c r="G270" s="1">
        <f t="shared" ca="1" si="40"/>
        <v>0.4476093210378842</v>
      </c>
      <c r="H270" s="1">
        <f t="shared" ca="1" si="36"/>
        <v>-3.1339253639913134E-2</v>
      </c>
      <c r="I270" s="1">
        <f t="shared" ca="1" si="41"/>
        <v>-75.056279216727546</v>
      </c>
      <c r="K270" s="1">
        <f t="shared" ca="1" si="37"/>
        <v>1.9442337868789971E-3</v>
      </c>
    </row>
    <row r="271" spans="5:11" x14ac:dyDescent="0.25">
      <c r="E271" s="1">
        <f t="shared" si="38"/>
        <v>522</v>
      </c>
      <c r="F271" s="1">
        <f t="shared" ca="1" si="39"/>
        <v>-71.681147262331535</v>
      </c>
      <c r="G271" s="1">
        <f t="shared" ca="1" si="40"/>
        <v>0.38493081375805793</v>
      </c>
      <c r="H271" s="1">
        <f t="shared" ca="1" si="36"/>
        <v>-3.6599867776860938E-2</v>
      </c>
      <c r="I271" s="1">
        <f t="shared" ca="1" si="41"/>
        <v>-75.050855206965508</v>
      </c>
      <c r="K271" s="1">
        <f t="shared" ca="1" si="37"/>
        <v>5.4240097620422987E-3</v>
      </c>
    </row>
    <row r="272" spans="5:11" x14ac:dyDescent="0.25">
      <c r="E272" s="1">
        <f t="shared" si="38"/>
        <v>524</v>
      </c>
      <c r="F272" s="1">
        <f t="shared" ca="1" si="39"/>
        <v>-70.911285634815414</v>
      </c>
      <c r="G272" s="1">
        <f t="shared" ca="1" si="40"/>
        <v>0.31173107820433604</v>
      </c>
      <c r="H272" s="1">
        <f t="shared" ca="1" si="36"/>
        <v>-4.0705445828578865E-2</v>
      </c>
      <c r="I272" s="1">
        <f t="shared" ca="1" si="41"/>
        <v>-75.058856523623447</v>
      </c>
      <c r="K272" s="1">
        <f t="shared" ca="1" si="37"/>
        <v>-8.0013166579420442E-3</v>
      </c>
    </row>
    <row r="273" spans="5:11" x14ac:dyDescent="0.25">
      <c r="E273" s="1">
        <f t="shared" si="38"/>
        <v>526</v>
      </c>
      <c r="F273" s="1">
        <f t="shared" ca="1" si="39"/>
        <v>-70.287823478406736</v>
      </c>
      <c r="G273" s="1">
        <f t="shared" ca="1" si="40"/>
        <v>0.23032018654717831</v>
      </c>
      <c r="H273" s="1">
        <f t="shared" ca="1" si="36"/>
        <v>-4.3422089257522313E-2</v>
      </c>
      <c r="I273" s="1">
        <f t="shared" ca="1" si="41"/>
        <v>-75.063401460209036</v>
      </c>
      <c r="K273" s="1">
        <f t="shared" ca="1" si="37"/>
        <v>-4.5449365855835281E-3</v>
      </c>
    </row>
    <row r="274" spans="5:11" x14ac:dyDescent="0.25">
      <c r="E274" s="1">
        <f t="shared" si="38"/>
        <v>528</v>
      </c>
      <c r="F274" s="1">
        <f t="shared" ca="1" si="39"/>
        <v>-69.827183105312386</v>
      </c>
      <c r="G274" s="1">
        <f t="shared" ca="1" si="40"/>
        <v>0.14347600803213367</v>
      </c>
      <c r="H274" s="1">
        <f t="shared" ca="1" si="36"/>
        <v>-4.4741020283808136E-2</v>
      </c>
      <c r="I274" s="1">
        <f t="shared" ca="1" si="41"/>
        <v>-75.070242498715842</v>
      </c>
      <c r="K274" s="1">
        <f t="shared" ca="1" si="37"/>
        <v>-6.8410385068097294E-3</v>
      </c>
    </row>
    <row r="275" spans="5:11" x14ac:dyDescent="0.25">
      <c r="E275" s="1">
        <f t="shared" si="38"/>
        <v>530</v>
      </c>
      <c r="F275" s="1">
        <f t="shared" ca="1" si="39"/>
        <v>-69.540231089248124</v>
      </c>
      <c r="G275" s="1">
        <f t="shared" ca="1" si="40"/>
        <v>5.3993967464517401E-2</v>
      </c>
      <c r="H275" s="1">
        <f t="shared" ca="1" si="36"/>
        <v>-4.4602297007430805E-2</v>
      </c>
      <c r="I275" s="1">
        <f t="shared" ca="1" si="41"/>
        <v>-75.072956560963732</v>
      </c>
      <c r="K275" s="1">
        <f t="shared" ca="1" si="37"/>
        <v>-2.7140622478888112E-3</v>
      </c>
    </row>
    <row r="276" spans="5:11" x14ac:dyDescent="0.25">
      <c r="E276" s="1">
        <f t="shared" si="38"/>
        <v>532</v>
      </c>
      <c r="F276" s="1">
        <f t="shared" ca="1" si="39"/>
        <v>-69.432243154319096</v>
      </c>
      <c r="G276" s="1">
        <f t="shared" ca="1" si="40"/>
        <v>-3.521062655034421E-2</v>
      </c>
      <c r="H276" s="1">
        <f t="shared" ca="1" si="36"/>
        <v>-4.3065428063301547E-2</v>
      </c>
      <c r="I276" s="1">
        <f t="shared" ca="1" si="41"/>
        <v>-75.074431981864066</v>
      </c>
      <c r="K276" s="1">
        <f t="shared" ca="1" si="37"/>
        <v>-1.4754209003322849E-3</v>
      </c>
    </row>
    <row r="277" spans="5:11" x14ac:dyDescent="0.25">
      <c r="E277" s="1">
        <f t="shared" si="38"/>
        <v>534</v>
      </c>
      <c r="F277" s="1">
        <f t="shared" ca="1" si="39"/>
        <v>-69.502664407419786</v>
      </c>
      <c r="G277" s="1">
        <f t="shared" ca="1" si="40"/>
        <v>-0.1213414826769473</v>
      </c>
      <c r="H277" s="1">
        <f t="shared" ca="1" si="36"/>
        <v>-4.0162299873346068E-2</v>
      </c>
      <c r="I277" s="1">
        <f t="shared" ca="1" si="41"/>
        <v>-75.068594100892639</v>
      </c>
      <c r="K277" s="1">
        <f t="shared" ca="1" si="37"/>
        <v>5.8378809714333801E-3</v>
      </c>
    </row>
    <row r="278" spans="5:11" x14ac:dyDescent="0.25">
      <c r="E278" s="1">
        <f t="shared" si="38"/>
        <v>536</v>
      </c>
      <c r="F278" s="1">
        <f t="shared" ca="1" si="39"/>
        <v>-69.745347372773679</v>
      </c>
      <c r="G278" s="1">
        <f t="shared" ca="1" si="40"/>
        <v>-0.20166608242363943</v>
      </c>
      <c r="H278" s="1">
        <f t="shared" ca="1" si="36"/>
        <v>-3.6143969927554358E-2</v>
      </c>
      <c r="I278" s="1">
        <f t="shared" ca="1" si="41"/>
        <v>-75.072093646684948</v>
      </c>
      <c r="K278" s="1">
        <f t="shared" ca="1" si="37"/>
        <v>-3.4995457923041461E-3</v>
      </c>
    </row>
    <row r="279" spans="5:11" x14ac:dyDescent="0.25">
      <c r="E279" s="1">
        <f t="shared" si="38"/>
        <v>538</v>
      </c>
      <c r="F279" s="1">
        <f t="shared" ca="1" si="39"/>
        <v>-70.148679537620964</v>
      </c>
      <c r="G279" s="1">
        <f t="shared" ca="1" si="40"/>
        <v>-0.27395402227874815</v>
      </c>
      <c r="H279" s="1">
        <f t="shared" ca="1" si="36"/>
        <v>-3.1023281125074915E-2</v>
      </c>
      <c r="I279" s="1">
        <f t="shared" ca="1" si="41"/>
        <v>-75.067301194306268</v>
      </c>
      <c r="K279" s="1">
        <f t="shared" ca="1" si="37"/>
        <v>4.7924523786784029E-3</v>
      </c>
    </row>
    <row r="280" spans="5:11" x14ac:dyDescent="0.25">
      <c r="E280" s="1">
        <f t="shared" si="38"/>
        <v>540</v>
      </c>
      <c r="F280" s="1">
        <f t="shared" ca="1" si="39"/>
        <v>-70.696587582178466</v>
      </c>
      <c r="G280" s="1">
        <f t="shared" ca="1" si="40"/>
        <v>-0.33600058452889797</v>
      </c>
      <c r="H280" s="1">
        <f t="shared" ca="1" si="36"/>
        <v>-2.5059132179886378E-2</v>
      </c>
      <c r="I280" s="1">
        <f t="shared" ca="1" si="41"/>
        <v>-75.063760382852934</v>
      </c>
      <c r="K280" s="1">
        <f t="shared" ca="1" si="37"/>
        <v>3.5408114533272751E-3</v>
      </c>
    </row>
    <row r="281" spans="5:11" x14ac:dyDescent="0.25">
      <c r="E281" s="1">
        <f t="shared" si="38"/>
        <v>542</v>
      </c>
      <c r="F281" s="1">
        <f t="shared" ca="1" si="39"/>
        <v>-71.36858875123626</v>
      </c>
      <c r="G281" s="1">
        <f t="shared" ca="1" si="40"/>
        <v>-0.38611884888867071</v>
      </c>
      <c r="H281" s="1">
        <f t="shared" ca="1" si="36"/>
        <v>-1.841953882101616E-2</v>
      </c>
      <c r="I281" s="1">
        <f t="shared" ca="1" si="41"/>
        <v>-75.056732850112226</v>
      </c>
      <c r="K281" s="1">
        <f t="shared" ca="1" si="37"/>
        <v>7.0275327407124631E-3</v>
      </c>
    </row>
    <row r="282" spans="5:11" x14ac:dyDescent="0.25">
      <c r="E282" s="1">
        <f t="shared" si="38"/>
        <v>544</v>
      </c>
      <c r="F282" s="1">
        <f t="shared" ca="1" si="39"/>
        <v>-72.140826449013602</v>
      </c>
      <c r="G282" s="1">
        <f t="shared" ca="1" si="40"/>
        <v>-0.42295792653070302</v>
      </c>
      <c r="H282" s="1">
        <f t="shared" ca="1" si="36"/>
        <v>-1.1393495737273778E-2</v>
      </c>
      <c r="I282" s="1">
        <f t="shared" ca="1" si="41"/>
        <v>-75.054771085974707</v>
      </c>
      <c r="K282" s="1">
        <f t="shared" ca="1" si="37"/>
        <v>1.9617641375161842E-3</v>
      </c>
    </row>
    <row r="283" spans="5:11" x14ac:dyDescent="0.25">
      <c r="E283" s="1">
        <f t="shared" si="38"/>
        <v>546</v>
      </c>
      <c r="F283" s="1">
        <f t="shared" ref="F283:F298" ca="1" si="42">F282+G282*dt</f>
        <v>-72.986742302075001</v>
      </c>
      <c r="G283" s="1">
        <f t="shared" ca="1" si="40"/>
        <v>-0.44574491800525057</v>
      </c>
      <c r="H283" s="1">
        <f t="shared" ca="1" si="36"/>
        <v>-4.2368080118064602E-3</v>
      </c>
      <c r="I283" s="1">
        <f t="shared" ca="1" si="41"/>
        <v>-75.061456637247716</v>
      </c>
      <c r="K283" s="1">
        <f t="shared" ca="1" si="37"/>
        <v>-6.6855512730075086E-3</v>
      </c>
    </row>
    <row r="284" spans="5:11" x14ac:dyDescent="0.25">
      <c r="E284" s="1">
        <f t="shared" si="38"/>
        <v>548</v>
      </c>
      <c r="F284" s="1">
        <f t="shared" ca="1" si="42"/>
        <v>-73.878232138085508</v>
      </c>
      <c r="G284" s="1">
        <f t="shared" ca="1" si="40"/>
        <v>-0.45421853402886347</v>
      </c>
      <c r="H284" s="1">
        <f t="shared" ca="1" si="36"/>
        <v>2.9515060138435977E-3</v>
      </c>
      <c r="I284" s="1">
        <f t="shared" ca="1" si="41"/>
        <v>-75.060482227589347</v>
      </c>
      <c r="K284" s="1">
        <f t="shared" ca="1" si="37"/>
        <v>9.7440965836219644E-4</v>
      </c>
    </row>
    <row r="285" spans="5:11" x14ac:dyDescent="0.25">
      <c r="E285" s="1">
        <f t="shared" si="38"/>
        <v>550</v>
      </c>
      <c r="F285" s="1">
        <f t="shared" ca="1" si="42"/>
        <v>-74.78666920614323</v>
      </c>
      <c r="G285" s="1">
        <f t="shared" ca="1" si="40"/>
        <v>-0.4483155220011763</v>
      </c>
      <c r="H285" s="1">
        <f t="shared" ca="1" si="36"/>
        <v>9.8915195049774154E-3</v>
      </c>
      <c r="I285" s="1">
        <f t="shared" ca="1" si="41"/>
        <v>-75.058891832380937</v>
      </c>
      <c r="K285" s="1">
        <f t="shared" ca="1" si="37"/>
        <v>1.5903952084038431E-3</v>
      </c>
    </row>
    <row r="286" spans="5:11" x14ac:dyDescent="0.25">
      <c r="E286" s="1">
        <f t="shared" si="38"/>
        <v>552</v>
      </c>
      <c r="F286" s="1">
        <f t="shared" ca="1" si="42"/>
        <v>-75.683300250145578</v>
      </c>
      <c r="G286" s="1">
        <f t="shared" ca="1" si="40"/>
        <v>-0.42853248299122149</v>
      </c>
      <c r="H286" s="1">
        <f t="shared" ca="1" si="36"/>
        <v>1.6301198623349521E-2</v>
      </c>
      <c r="I286" s="1">
        <f t="shared" ca="1" si="41"/>
        <v>-75.065796650250093</v>
      </c>
      <c r="K286" s="1">
        <f t="shared" ca="1" si="37"/>
        <v>-6.9048178691517607E-3</v>
      </c>
    </row>
    <row r="287" spans="5:11" x14ac:dyDescent="0.25">
      <c r="E287" s="1">
        <f t="shared" si="38"/>
        <v>554</v>
      </c>
      <c r="F287" s="1">
        <f t="shared" ca="1" si="42"/>
        <v>-76.540365216128023</v>
      </c>
      <c r="G287" s="1">
        <f t="shared" ca="1" si="40"/>
        <v>-0.39593008574452243</v>
      </c>
      <c r="H287" s="1">
        <f t="shared" ca="1" si="36"/>
        <v>2.2131510781625143E-2</v>
      </c>
      <c r="I287" s="1">
        <f t="shared" ca="1" si="41"/>
        <v>-75.063367205400851</v>
      </c>
      <c r="K287" s="1">
        <f t="shared" ca="1" si="37"/>
        <v>2.4294448492469846E-3</v>
      </c>
    </row>
    <row r="288" spans="5:11" x14ac:dyDescent="0.25">
      <c r="E288" s="1">
        <f t="shared" si="38"/>
        <v>556</v>
      </c>
      <c r="F288" s="1">
        <f t="shared" ca="1" si="42"/>
        <v>-77.332225387617072</v>
      </c>
      <c r="G288" s="1">
        <f t="shared" ca="1" si="40"/>
        <v>-0.35166706418127214</v>
      </c>
      <c r="H288" s="1">
        <f t="shared" ca="1" si="36"/>
        <v>2.7056862950207351E-2</v>
      </c>
      <c r="I288" s="1">
        <f t="shared" ca="1" si="41"/>
        <v>-75.071688768367167</v>
      </c>
      <c r="K288" s="1">
        <f t="shared" ca="1" si="37"/>
        <v>-8.3215629663106472E-3</v>
      </c>
    </row>
    <row r="289" spans="5:11" x14ac:dyDescent="0.25">
      <c r="E289" s="1">
        <f t="shared" si="38"/>
        <v>558</v>
      </c>
      <c r="F289" s="1">
        <f t="shared" ca="1" si="42"/>
        <v>-78.035559515979614</v>
      </c>
      <c r="G289" s="1">
        <f t="shared" ca="1" si="40"/>
        <v>-0.29755333828085745</v>
      </c>
      <c r="H289" s="1">
        <f t="shared" ca="1" si="36"/>
        <v>3.1167854890838866E-2</v>
      </c>
      <c r="I289" s="1">
        <f t="shared" ca="1" si="41"/>
        <v>-75.062043435862705</v>
      </c>
      <c r="K289" s="1">
        <f t="shared" ca="1" si="37"/>
        <v>9.6453325044676807E-3</v>
      </c>
    </row>
    <row r="290" spans="5:11" x14ac:dyDescent="0.25">
      <c r="E290" s="1">
        <f t="shared" si="38"/>
        <v>560</v>
      </c>
      <c r="F290" s="1">
        <f t="shared" ca="1" si="42"/>
        <v>-78.630666192541327</v>
      </c>
      <c r="G290" s="1">
        <f t="shared" ca="1" si="40"/>
        <v>-0.23521762849917971</v>
      </c>
      <c r="H290" s="1">
        <f t="shared" ca="1" si="36"/>
        <v>3.415437472508303E-2</v>
      </c>
      <c r="I290" s="1">
        <f t="shared" ca="1" si="41"/>
        <v>-75.060083848784274</v>
      </c>
      <c r="K290" s="1">
        <f t="shared" ca="1" si="37"/>
        <v>1.9595870784316085E-3</v>
      </c>
    </row>
    <row r="291" spans="5:11" x14ac:dyDescent="0.25">
      <c r="E291" s="1">
        <f t="shared" si="38"/>
        <v>562</v>
      </c>
      <c r="F291" s="1">
        <f t="shared" ca="1" si="42"/>
        <v>-79.101101449539684</v>
      </c>
      <c r="G291" s="1">
        <f t="shared" ca="1" si="40"/>
        <v>-0.16690887904901364</v>
      </c>
      <c r="H291" s="1">
        <f t="shared" ca="1" si="36"/>
        <v>3.5971248212017894E-2</v>
      </c>
      <c r="I291" s="1">
        <f t="shared" ca="1" si="41"/>
        <v>-75.062884750372461</v>
      </c>
      <c r="K291" s="1">
        <f t="shared" ca="1" si="37"/>
        <v>-2.8009015881815748E-3</v>
      </c>
    </row>
    <row r="292" spans="5:11" x14ac:dyDescent="0.25">
      <c r="E292" s="1">
        <f t="shared" si="38"/>
        <v>564</v>
      </c>
      <c r="F292" s="1">
        <f t="shared" ca="1" si="42"/>
        <v>-79.434919207637705</v>
      </c>
      <c r="G292" s="1">
        <f t="shared" ca="1" si="40"/>
        <v>-9.4966382624977849E-2</v>
      </c>
      <c r="H292" s="1">
        <f t="shared" ca="1" si="36"/>
        <v>3.6660294917893306E-2</v>
      </c>
      <c r="I292" s="1">
        <f t="shared" ca="1" si="41"/>
        <v>-75.061176148209</v>
      </c>
      <c r="K292" s="1">
        <f t="shared" ca="1" si="37"/>
        <v>1.7086021634668657E-3</v>
      </c>
    </row>
    <row r="293" spans="5:11" x14ac:dyDescent="0.25">
      <c r="E293" s="1">
        <f t="shared" si="38"/>
        <v>566</v>
      </c>
      <c r="F293" s="1">
        <f t="shared" ca="1" si="42"/>
        <v>-79.624851972887654</v>
      </c>
      <c r="G293" s="1">
        <f t="shared" ca="1" si="40"/>
        <v>-2.1645792789191237E-2</v>
      </c>
      <c r="H293" s="1">
        <f t="shared" ca="1" si="36"/>
        <v>3.6193919281608498E-2</v>
      </c>
      <c r="I293" s="1">
        <f t="shared" ca="1" si="41"/>
        <v>-75.058978635085325</v>
      </c>
      <c r="K293" s="1">
        <f t="shared" ca="1" si="37"/>
        <v>2.1975131236780234E-3</v>
      </c>
    </row>
    <row r="294" spans="5:11" x14ac:dyDescent="0.25">
      <c r="E294" s="1">
        <f t="shared" si="38"/>
        <v>568</v>
      </c>
      <c r="F294" s="1">
        <f t="shared" ca="1" si="42"/>
        <v>-79.668143558466042</v>
      </c>
      <c r="G294" s="1">
        <f t="shared" ca="1" si="40"/>
        <v>5.074204577402576E-2</v>
      </c>
      <c r="H294" s="1">
        <f t="shared" ca="1" si="36"/>
        <v>3.454291305536205E-2</v>
      </c>
      <c r="I294" s="1">
        <f t="shared" ca="1" si="41"/>
        <v>-75.065220496657588</v>
      </c>
      <c r="K294" s="1">
        <f t="shared" ca="1" si="37"/>
        <v>-6.2418615722635434E-3</v>
      </c>
    </row>
    <row r="295" spans="5:11" x14ac:dyDescent="0.25">
      <c r="E295" s="1">
        <f t="shared" si="38"/>
        <v>570</v>
      </c>
      <c r="F295" s="1">
        <f t="shared" ca="1" si="42"/>
        <v>-79.566659466917997</v>
      </c>
      <c r="G295" s="1">
        <f t="shared" ca="1" si="40"/>
        <v>0.11982787188474986</v>
      </c>
      <c r="H295" s="1">
        <f t="shared" ca="1" si="36"/>
        <v>3.1843335199124162E-2</v>
      </c>
      <c r="I295" s="1">
        <f t="shared" ca="1" si="41"/>
        <v>-75.072464317477554</v>
      </c>
      <c r="K295" s="1">
        <f t="shared" ca="1" si="37"/>
        <v>-7.2438208199724933E-3</v>
      </c>
    </row>
    <row r="296" spans="5:11" x14ac:dyDescent="0.25">
      <c r="E296" s="1">
        <f t="shared" si="38"/>
        <v>572</v>
      </c>
      <c r="F296" s="1">
        <f t="shared" ca="1" si="42"/>
        <v>-79.327003723148493</v>
      </c>
      <c r="G296" s="1">
        <f t="shared" ca="1" si="40"/>
        <v>0.18351454228299818</v>
      </c>
      <c r="H296" s="1">
        <f t="shared" ca="1" si="36"/>
        <v>2.819545079934805E-2</v>
      </c>
      <c r="I296" s="1">
        <f t="shared" ca="1" si="41"/>
        <v>-75.081665193336647</v>
      </c>
      <c r="K296" s="1">
        <f t="shared" ca="1" si="37"/>
        <v>-9.2008758590991033E-3</v>
      </c>
    </row>
    <row r="297" spans="5:11" x14ac:dyDescent="0.25">
      <c r="E297" s="1">
        <f t="shared" si="38"/>
        <v>574</v>
      </c>
      <c r="F297" s="1">
        <f t="shared" ca="1" si="42"/>
        <v>-78.959974638582494</v>
      </c>
      <c r="G297" s="1">
        <f t="shared" ca="1" si="40"/>
        <v>0.23990544388169427</v>
      </c>
      <c r="H297" s="1">
        <f t="shared" ca="1" si="36"/>
        <v>2.3794631569011928E-2</v>
      </c>
      <c r="I297" s="1">
        <f t="shared" ca="1" si="41"/>
        <v>-75.08509034819258</v>
      </c>
      <c r="K297" s="1">
        <f t="shared" ca="1" si="37"/>
        <v>-3.4251548559324509E-3</v>
      </c>
    </row>
    <row r="298" spans="5:11" x14ac:dyDescent="0.25">
      <c r="E298" s="1">
        <f t="shared" si="38"/>
        <v>576</v>
      </c>
      <c r="F298" s="1">
        <f t="shared" ca="1" si="42"/>
        <v>-78.480163750819102</v>
      </c>
      <c r="G298" s="1">
        <f t="shared" ca="1" si="40"/>
        <v>0.28749470701971813</v>
      </c>
      <c r="H298" s="1">
        <f t="shared" ca="1" si="36"/>
        <v>1.8809671962777899E-2</v>
      </c>
      <c r="I298" s="1">
        <f t="shared" ca="1" si="41"/>
        <v>-75.080865018651622</v>
      </c>
      <c r="K298" s="1">
        <f t="shared" ca="1" si="37"/>
        <v>4.2253295409567775E-3</v>
      </c>
    </row>
    <row r="299" spans="5:11" x14ac:dyDescent="0.25">
      <c r="E299" s="1">
        <f t="shared" si="38"/>
        <v>578</v>
      </c>
      <c r="F299" s="1">
        <f t="shared" ref="F299:F314" ca="1" si="43">F298+G298*dt</f>
        <v>-77.905174336779666</v>
      </c>
      <c r="G299" s="1">
        <f t="shared" ca="1" si="40"/>
        <v>0.3251140509452739</v>
      </c>
      <c r="H299" s="1">
        <f t="shared" ca="1" si="36"/>
        <v>1.328185243807785E-2</v>
      </c>
      <c r="I299" s="1">
        <f t="shared" ca="1" si="41"/>
        <v>-75.085314208137206</v>
      </c>
      <c r="K299" s="1">
        <f t="shared" ca="1" si="37"/>
        <v>-4.4491894855793815E-3</v>
      </c>
    </row>
    <row r="300" spans="5:11" x14ac:dyDescent="0.25">
      <c r="E300" s="1">
        <f t="shared" si="38"/>
        <v>580</v>
      </c>
      <c r="F300" s="1">
        <f t="shared" ca="1" si="43"/>
        <v>-77.254946234889118</v>
      </c>
      <c r="G300" s="1">
        <f t="shared" ca="1" si="40"/>
        <v>0.35167775582142963</v>
      </c>
      <c r="H300" s="1">
        <f t="shared" ca="1" si="36"/>
        <v>7.5179546291392185E-3</v>
      </c>
      <c r="I300" s="1">
        <f t="shared" ca="1" si="41"/>
        <v>-75.082777198330973</v>
      </c>
      <c r="K300" s="1">
        <f t="shared" ca="1" si="37"/>
        <v>2.5370098062327839E-3</v>
      </c>
    </row>
    <row r="301" spans="5:11" x14ac:dyDescent="0.25">
      <c r="E301" s="1">
        <f t="shared" si="38"/>
        <v>582</v>
      </c>
      <c r="F301" s="1">
        <f t="shared" ca="1" si="43"/>
        <v>-76.551590723246264</v>
      </c>
      <c r="G301" s="1">
        <f t="shared" ca="1" si="40"/>
        <v>0.36671366507970804</v>
      </c>
      <c r="H301" s="1">
        <f t="shared" ca="1" si="36"/>
        <v>1.6885570855788602E-3</v>
      </c>
      <c r="I301" s="1">
        <f t="shared" ca="1" si="41"/>
        <v>-75.075118504052028</v>
      </c>
      <c r="K301" s="1">
        <f t="shared" ca="1" si="37"/>
        <v>7.6586942789459815E-3</v>
      </c>
    </row>
    <row r="302" spans="5:11" x14ac:dyDescent="0.25">
      <c r="E302" s="1">
        <f t="shared" si="38"/>
        <v>584</v>
      </c>
      <c r="F302" s="1">
        <f t="shared" ca="1" si="43"/>
        <v>-75.818163393086849</v>
      </c>
      <c r="G302" s="1">
        <f t="shared" ca="1" si="40"/>
        <v>0.37009077925086575</v>
      </c>
      <c r="H302" s="1">
        <f t="shared" ca="1" si="36"/>
        <v>-4.1412202066773898E-3</v>
      </c>
      <c r="I302" s="1">
        <f t="shared" ca="1" si="41"/>
        <v>-75.077495101132257</v>
      </c>
      <c r="K302" s="1">
        <f t="shared" ca="1" si="37"/>
        <v>-2.3765970802285263E-3</v>
      </c>
    </row>
    <row r="303" spans="5:11" x14ac:dyDescent="0.25">
      <c r="E303" s="1">
        <f t="shared" si="38"/>
        <v>586</v>
      </c>
      <c r="F303" s="1">
        <f t="shared" ca="1" si="43"/>
        <v>-75.077981834585117</v>
      </c>
      <c r="G303" s="1">
        <f t="shared" ca="1" si="40"/>
        <v>0.36180833883751096</v>
      </c>
      <c r="H303" s="1">
        <f t="shared" ca="1" si="36"/>
        <v>-9.7207901025804996E-3</v>
      </c>
      <c r="I303" s="1">
        <f t="shared" ca="1" si="41"/>
        <v>-75.081100632243476</v>
      </c>
      <c r="K303" s="1">
        <f t="shared" ca="1" si="37"/>
        <v>-3.6055311112203814E-3</v>
      </c>
    </row>
    <row r="304" spans="5:11" x14ac:dyDescent="0.25">
      <c r="E304" s="1">
        <f t="shared" si="38"/>
        <v>588</v>
      </c>
      <c r="F304" s="1">
        <f t="shared" ca="1" si="43"/>
        <v>-74.354365156910092</v>
      </c>
      <c r="G304" s="1">
        <f t="shared" ca="1" si="40"/>
        <v>0.34236675863234994</v>
      </c>
      <c r="H304" s="1">
        <f t="shared" ca="1" si="36"/>
        <v>-1.4775385119379418E-2</v>
      </c>
      <c r="I304" s="1">
        <f t="shared" ca="1" si="41"/>
        <v>-75.072308232298866</v>
      </c>
      <c r="K304" s="1">
        <f t="shared" ca="1" si="37"/>
        <v>8.7923999446144572E-3</v>
      </c>
    </row>
    <row r="305" spans="5:11" x14ac:dyDescent="0.25">
      <c r="E305" s="1">
        <f t="shared" si="38"/>
        <v>590</v>
      </c>
      <c r="F305" s="1">
        <f t="shared" ca="1" si="43"/>
        <v>-73.669631639645388</v>
      </c>
      <c r="G305" s="1">
        <f t="shared" ca="1" si="40"/>
        <v>0.31281598839359109</v>
      </c>
      <c r="H305" s="1">
        <f t="shared" ca="1" si="36"/>
        <v>-1.9347746085194753E-2</v>
      </c>
      <c r="I305" s="1">
        <f t="shared" ca="1" si="41"/>
        <v>-75.075308254548787</v>
      </c>
      <c r="K305" s="1">
        <f t="shared" ca="1" si="37"/>
        <v>-3.0000222499212506E-3</v>
      </c>
    </row>
    <row r="306" spans="5:11" x14ac:dyDescent="0.25">
      <c r="E306" s="1">
        <f t="shared" si="38"/>
        <v>592</v>
      </c>
      <c r="F306" s="1">
        <f t="shared" ca="1" si="43"/>
        <v>-73.043999662858212</v>
      </c>
      <c r="G306" s="1">
        <f t="shared" ca="1" si="40"/>
        <v>0.27412049622320156</v>
      </c>
      <c r="H306" s="1">
        <f t="shared" ca="1" si="36"/>
        <v>-2.3120747740974168E-2</v>
      </c>
      <c r="I306" s="1">
        <f t="shared" ca="1" si="41"/>
        <v>-75.066348181088003</v>
      </c>
      <c r="K306" s="1">
        <f t="shared" ca="1" si="37"/>
        <v>8.9600734607825361E-3</v>
      </c>
    </row>
    <row r="307" spans="5:11" x14ac:dyDescent="0.25">
      <c r="E307" s="1">
        <f t="shared" si="38"/>
        <v>594</v>
      </c>
      <c r="F307" s="1">
        <f t="shared" ca="1" si="43"/>
        <v>-72.495758670411803</v>
      </c>
      <c r="G307" s="1">
        <f t="shared" ca="1" si="40"/>
        <v>0.22787900074125322</v>
      </c>
      <c r="H307" s="1">
        <f t="shared" ca="1" si="36"/>
        <v>-2.611538125778225E-2</v>
      </c>
      <c r="I307" s="1">
        <f t="shared" ca="1" si="41"/>
        <v>-75.060915598349837</v>
      </c>
      <c r="K307" s="1">
        <f t="shared" ca="1" si="37"/>
        <v>5.4325827381696981E-3</v>
      </c>
    </row>
    <row r="308" spans="5:11" x14ac:dyDescent="0.25">
      <c r="E308" s="1">
        <f t="shared" si="38"/>
        <v>596</v>
      </c>
      <c r="F308" s="1">
        <f t="shared" ca="1" si="43"/>
        <v>-72.040000668929295</v>
      </c>
      <c r="G308" s="1">
        <f t="shared" ca="1" si="40"/>
        <v>0.17564823822568873</v>
      </c>
      <c r="H308" s="1">
        <f t="shared" ca="1" si="36"/>
        <v>-2.8221168149248341E-2</v>
      </c>
      <c r="I308" s="1">
        <f t="shared" ca="1" si="41"/>
        <v>-75.054589818262613</v>
      </c>
      <c r="K308" s="1">
        <f t="shared" ca="1" si="37"/>
        <v>6.3257800872303259E-3</v>
      </c>
    </row>
    <row r="309" spans="5:11" x14ac:dyDescent="0.25">
      <c r="E309" s="1">
        <f t="shared" si="38"/>
        <v>598</v>
      </c>
      <c r="F309" s="1">
        <f t="shared" ca="1" si="43"/>
        <v>-71.688704192477914</v>
      </c>
      <c r="G309" s="1">
        <f t="shared" ca="1" si="40"/>
        <v>0.11920590192719205</v>
      </c>
      <c r="H309" s="1">
        <f t="shared" ca="1" si="36"/>
        <v>-2.9421813521366521E-2</v>
      </c>
      <c r="I309" s="1">
        <f t="shared" ca="1" si="41"/>
        <v>-75.051152314236603</v>
      </c>
      <c r="K309" s="1">
        <f t="shared" ca="1" si="37"/>
        <v>3.437504026005267E-3</v>
      </c>
    </row>
    <row r="310" spans="5:11" x14ac:dyDescent="0.25">
      <c r="E310" s="1">
        <f t="shared" si="38"/>
        <v>600</v>
      </c>
      <c r="F310" s="1">
        <f t="shared" ca="1" si="43"/>
        <v>-71.450292388623524</v>
      </c>
      <c r="G310" s="1">
        <f t="shared" ca="1" si="40"/>
        <v>6.0362274884459007E-2</v>
      </c>
      <c r="H310" s="1">
        <f t="shared" ca="1" si="36"/>
        <v>-2.9699928534747698E-2</v>
      </c>
      <c r="I310" s="1">
        <f t="shared" ca="1" si="41"/>
        <v>-75.050576948603549</v>
      </c>
      <c r="K310" s="1">
        <f t="shared" ca="1" si="37"/>
        <v>5.7536563305826021E-4</v>
      </c>
    </row>
    <row r="311" spans="5:11" x14ac:dyDescent="0.25">
      <c r="E311" s="1">
        <f t="shared" si="38"/>
        <v>602</v>
      </c>
      <c r="F311" s="1">
        <f t="shared" ca="1" si="43"/>
        <v>-71.329567838854601</v>
      </c>
      <c r="G311" s="1">
        <f t="shared" ca="1" si="40"/>
        <v>9.6241781496361062E-4</v>
      </c>
      <c r="H311" s="1">
        <f t="shared" ca="1" si="36"/>
        <v>-2.9008842458529374E-2</v>
      </c>
      <c r="I311" s="1">
        <f t="shared" ca="1" si="41"/>
        <v>-75.045343436430031</v>
      </c>
      <c r="K311" s="1">
        <f t="shared" ca="1" si="37"/>
        <v>5.2335121735140305E-3</v>
      </c>
    </row>
    <row r="312" spans="5:11" x14ac:dyDescent="0.25">
      <c r="E312" s="1">
        <f t="shared" si="38"/>
        <v>604</v>
      </c>
      <c r="F312" s="1">
        <f t="shared" ca="1" si="43"/>
        <v>-71.327643003224679</v>
      </c>
      <c r="G312" s="1">
        <f t="shared" ca="1" si="40"/>
        <v>-5.7055267102095138E-2</v>
      </c>
      <c r="H312" s="1">
        <f t="shared" ca="1" si="36"/>
        <v>-2.7543073449067344E-2</v>
      </c>
      <c r="I312" s="1">
        <f t="shared" ca="1" si="41"/>
        <v>-75.054842311866153</v>
      </c>
      <c r="K312" s="1">
        <f t="shared" ca="1" si="37"/>
        <v>-9.4988754361231258E-3</v>
      </c>
    </row>
    <row r="313" spans="5:11" x14ac:dyDescent="0.25">
      <c r="E313" s="1">
        <f t="shared" si="38"/>
        <v>606</v>
      </c>
      <c r="F313" s="1">
        <f t="shared" ca="1" si="43"/>
        <v>-71.441753537428866</v>
      </c>
      <c r="G313" s="1">
        <f t="shared" ca="1" si="40"/>
        <v>-0.11214141400022982</v>
      </c>
      <c r="H313" s="1">
        <f t="shared" ca="1" si="36"/>
        <v>-2.5216825364991001E-2</v>
      </c>
      <c r="I313" s="1">
        <f t="shared" ca="1" si="41"/>
        <v>-75.059986263095169</v>
      </c>
      <c r="K313" s="1">
        <f t="shared" ca="1" si="37"/>
        <v>-5.1439512290198984E-3</v>
      </c>
    </row>
    <row r="314" spans="5:11" x14ac:dyDescent="0.25">
      <c r="E314" s="1">
        <f t="shared" si="38"/>
        <v>608</v>
      </c>
      <c r="F314" s="1">
        <f t="shared" ca="1" si="43"/>
        <v>-71.666036365429321</v>
      </c>
      <c r="G314" s="1">
        <f t="shared" ca="1" si="40"/>
        <v>-0.16257506473021183</v>
      </c>
      <c r="H314" s="1">
        <f t="shared" ca="1" si="36"/>
        <v>-2.2109160261780753E-2</v>
      </c>
      <c r="I314" s="1">
        <f t="shared" ca="1" si="41"/>
        <v>-75.059135339346042</v>
      </c>
      <c r="K314" s="1">
        <f t="shared" ca="1" si="37"/>
        <v>8.509237491219812E-4</v>
      </c>
    </row>
    <row r="315" spans="5:11" x14ac:dyDescent="0.25">
      <c r="E315" s="1">
        <f t="shared" si="38"/>
        <v>610</v>
      </c>
      <c r="F315" s="1">
        <f t="shared" ref="F315:F330" ca="1" si="44">F314+G314*dt</f>
        <v>-71.991186494889746</v>
      </c>
      <c r="G315" s="1">
        <f t="shared" ca="1" si="40"/>
        <v>-0.20679338525377333</v>
      </c>
      <c r="H315" s="1">
        <f t="shared" ca="1" si="36"/>
        <v>-1.8361430365010343E-2</v>
      </c>
      <c r="I315" s="1">
        <f t="shared" ca="1" si="41"/>
        <v>-75.055736891019421</v>
      </c>
      <c r="K315" s="1">
        <f t="shared" ca="1" si="37"/>
        <v>3.3984483266173448E-3</v>
      </c>
    </row>
    <row r="316" spans="5:11" x14ac:dyDescent="0.25">
      <c r="E316" s="1">
        <f t="shared" si="38"/>
        <v>612</v>
      </c>
      <c r="F316" s="1">
        <f t="shared" ca="1" si="44"/>
        <v>-72.404773265397296</v>
      </c>
      <c r="G316" s="1">
        <f t="shared" ca="1" si="40"/>
        <v>-0.24351624598379401</v>
      </c>
      <c r="H316" s="1">
        <f t="shared" ca="1" si="36"/>
        <v>-1.4196534832570058E-2</v>
      </c>
      <c r="I316" s="1">
        <f t="shared" ca="1" si="41"/>
        <v>-75.061538678850596</v>
      </c>
      <c r="K316" s="1">
        <f t="shared" ca="1" si="37"/>
        <v>-5.8017878311736526E-3</v>
      </c>
    </row>
    <row r="317" spans="5:11" x14ac:dyDescent="0.25">
      <c r="E317" s="1">
        <f t="shared" si="38"/>
        <v>614</v>
      </c>
      <c r="F317" s="1">
        <f t="shared" ca="1" si="44"/>
        <v>-72.891805757364878</v>
      </c>
      <c r="G317" s="1">
        <f t="shared" ca="1" si="40"/>
        <v>-0.27190931564893411</v>
      </c>
      <c r="H317" s="1">
        <f t="shared" ca="1" si="36"/>
        <v>-9.5712458917377626E-3</v>
      </c>
      <c r="I317" s="1">
        <f t="shared" ca="1" si="41"/>
        <v>-75.053141084432724</v>
      </c>
      <c r="K317" s="1">
        <f t="shared" ca="1" si="37"/>
        <v>8.397594417871657E-3</v>
      </c>
    </row>
    <row r="318" spans="5:11" x14ac:dyDescent="0.25">
      <c r="E318" s="1">
        <f t="shared" si="38"/>
        <v>616</v>
      </c>
      <c r="F318" s="1">
        <f t="shared" ca="1" si="44"/>
        <v>-73.435624388662745</v>
      </c>
      <c r="G318" s="1">
        <f t="shared" ca="1" si="40"/>
        <v>-0.29105180743240966</v>
      </c>
      <c r="H318" s="1">
        <f t="shared" ca="1" si="36"/>
        <v>-4.8636663357869078E-3</v>
      </c>
      <c r="I318" s="1">
        <f t="shared" ca="1" si="41"/>
        <v>-75.059195513659603</v>
      </c>
      <c r="K318" s="1">
        <f t="shared" ca="1" si="37"/>
        <v>-6.0544292268837462E-3</v>
      </c>
    </row>
    <row r="319" spans="5:11" x14ac:dyDescent="0.25">
      <c r="E319" s="1">
        <f t="shared" si="38"/>
        <v>618</v>
      </c>
      <c r="F319" s="1">
        <f t="shared" ca="1" si="44"/>
        <v>-74.017728003527566</v>
      </c>
      <c r="G319" s="1">
        <f t="shared" ca="1" si="40"/>
        <v>-0.30077914010398349</v>
      </c>
      <c r="H319" s="1">
        <f t="shared" ca="1" si="36"/>
        <v>-3.9229397877857397E-5</v>
      </c>
      <c r="I319" s="1">
        <f t="shared" ca="1" si="41"/>
        <v>-75.056203689766619</v>
      </c>
      <c r="K319" s="1">
        <f t="shared" ca="1" si="37"/>
        <v>2.9918238929794215E-3</v>
      </c>
    </row>
    <row r="320" spans="5:11" x14ac:dyDescent="0.25">
      <c r="E320" s="1">
        <f t="shared" si="38"/>
        <v>620</v>
      </c>
      <c r="F320" s="1">
        <f t="shared" ca="1" si="44"/>
        <v>-74.619286283735534</v>
      </c>
      <c r="G320" s="1">
        <f t="shared" ca="1" si="40"/>
        <v>-0.30085759889973918</v>
      </c>
      <c r="H320" s="1">
        <f t="shared" ca="1" si="36"/>
        <v>4.6050805725222702E-3</v>
      </c>
      <c r="I320" s="1">
        <f t="shared" ca="1" si="41"/>
        <v>-75.062607191170244</v>
      </c>
      <c r="K320" s="1">
        <f t="shared" ca="1" si="37"/>
        <v>-6.4035014036258687E-3</v>
      </c>
    </row>
    <row r="321" spans="5:11" x14ac:dyDescent="0.25">
      <c r="E321" s="1">
        <f t="shared" si="38"/>
        <v>622</v>
      </c>
      <c r="F321" s="1">
        <f t="shared" ca="1" si="44"/>
        <v>-75.221001481535012</v>
      </c>
      <c r="G321" s="1">
        <f t="shared" ca="1" si="40"/>
        <v>-0.29164743775469465</v>
      </c>
      <c r="H321" s="1">
        <f t="shared" ca="1" si="36"/>
        <v>9.0317472739880247E-3</v>
      </c>
      <c r="I321" s="1">
        <f t="shared" ca="1" si="41"/>
        <v>-75.065155847924473</v>
      </c>
      <c r="K321" s="1">
        <f t="shared" ca="1" si="37"/>
        <v>-2.5486567542318773E-3</v>
      </c>
    </row>
    <row r="322" spans="5:11" x14ac:dyDescent="0.25">
      <c r="E322" s="1">
        <f t="shared" si="38"/>
        <v>624</v>
      </c>
      <c r="F322" s="1">
        <f t="shared" ca="1" si="44"/>
        <v>-75.804296357044407</v>
      </c>
      <c r="G322" s="1">
        <f t="shared" ca="1" si="40"/>
        <v>-0.27358394320671858</v>
      </c>
      <c r="H322" s="1">
        <f t="shared" ca="1" si="36"/>
        <v>1.3166083307473944E-2</v>
      </c>
      <c r="I322" s="1">
        <f t="shared" ca="1" si="41"/>
        <v>-75.056343327616986</v>
      </c>
      <c r="K322" s="1">
        <f t="shared" ca="1" si="37"/>
        <v>8.8125203074827189E-3</v>
      </c>
    </row>
    <row r="323" spans="5:11" x14ac:dyDescent="0.25">
      <c r="E323" s="1">
        <f t="shared" si="38"/>
        <v>626</v>
      </c>
      <c r="F323" s="1">
        <f t="shared" ca="1" si="44"/>
        <v>-76.351464243457841</v>
      </c>
      <c r="G323" s="1">
        <f t="shared" ca="1" si="40"/>
        <v>-0.24725177659177069</v>
      </c>
      <c r="H323" s="1">
        <f t="shared" ca="1" si="36"/>
        <v>1.6663215500196723E-2</v>
      </c>
      <c r="I323" s="1">
        <f t="shared" ca="1" si="41"/>
        <v>-75.064686309158191</v>
      </c>
      <c r="K323" s="1">
        <f t="shared" ca="1" si="37"/>
        <v>-8.3429815412045666E-3</v>
      </c>
    </row>
    <row r="324" spans="5:11" x14ac:dyDescent="0.25">
      <c r="E324" s="1">
        <f t="shared" si="38"/>
        <v>628</v>
      </c>
      <c r="F324" s="1">
        <f t="shared" ca="1" si="44"/>
        <v>-76.845967796641375</v>
      </c>
      <c r="G324" s="1">
        <f t="shared" ca="1" si="40"/>
        <v>-0.21392534559137724</v>
      </c>
      <c r="H324" s="1">
        <f t="shared" ca="1" si="36"/>
        <v>1.9585810066046233E-2</v>
      </c>
      <c r="I324" s="1">
        <f t="shared" ca="1" si="41"/>
        <v>-75.069992052513513</v>
      </c>
      <c r="K324" s="1">
        <f t="shared" ca="1" si="37"/>
        <v>-5.3057433553222837E-3</v>
      </c>
    </row>
    <row r="325" spans="5:11" x14ac:dyDescent="0.25">
      <c r="E325" s="1">
        <f t="shared" si="38"/>
        <v>630</v>
      </c>
      <c r="F325" s="1">
        <f t="shared" ca="1" si="44"/>
        <v>-77.27381848782413</v>
      </c>
      <c r="G325" s="1">
        <f t="shared" ca="1" si="40"/>
        <v>-0.17475372545928478</v>
      </c>
      <c r="H325" s="1">
        <f t="shared" ca="1" si="36"/>
        <v>2.1867479094218545E-2</v>
      </c>
      <c r="I325" s="1">
        <f t="shared" ca="1" si="41"/>
        <v>-75.070731404245961</v>
      </c>
      <c r="K325" s="1">
        <f t="shared" ca="1" si="37"/>
        <v>-7.3935173245483156E-4</v>
      </c>
    </row>
    <row r="326" spans="5:11" x14ac:dyDescent="0.25">
      <c r="E326" s="1">
        <f t="shared" si="38"/>
        <v>632</v>
      </c>
      <c r="F326" s="1">
        <f t="shared" ca="1" si="44"/>
        <v>-77.623325938742695</v>
      </c>
      <c r="G326" s="1">
        <f t="shared" ca="1" si="40"/>
        <v>-0.13101876727084769</v>
      </c>
      <c r="H326" s="1">
        <f t="shared" ca="1" si="36"/>
        <v>2.3448696615991246E-2</v>
      </c>
      <c r="I326" s="1">
        <f t="shared" ca="1" si="41"/>
        <v>-75.06724982936673</v>
      </c>
      <c r="K326" s="1">
        <f t="shared" ca="1" si="37"/>
        <v>3.4815748792349876E-3</v>
      </c>
    </row>
    <row r="327" spans="5:11" x14ac:dyDescent="0.25">
      <c r="E327" s="1">
        <f t="shared" si="38"/>
        <v>634</v>
      </c>
      <c r="F327" s="1">
        <f t="shared" ca="1" si="44"/>
        <v>-77.885363473284386</v>
      </c>
      <c r="G327" s="1">
        <f t="shared" ca="1" si="40"/>
        <v>-8.4121374038865188E-2</v>
      </c>
      <c r="H327" s="1">
        <f t="shared" ca="1" si="36"/>
        <v>2.4235600745071438E-2</v>
      </c>
      <c r="I327" s="1">
        <f t="shared" ca="1" si="41"/>
        <v>-75.067267585998508</v>
      </c>
      <c r="K327" s="1">
        <f t="shared" ca="1" si="37"/>
        <v>-1.7756631784464626E-5</v>
      </c>
    </row>
    <row r="328" spans="5:11" x14ac:dyDescent="0.25">
      <c r="E328" s="1">
        <f t="shared" si="38"/>
        <v>636</v>
      </c>
      <c r="F328" s="1">
        <f t="shared" ca="1" si="44"/>
        <v>-78.053606221362116</v>
      </c>
      <c r="G328" s="1">
        <f t="shared" ca="1" si="40"/>
        <v>-3.5650172548722311E-2</v>
      </c>
      <c r="H328" s="1">
        <f t="shared" ca="1" si="36"/>
        <v>2.4180169560949996E-2</v>
      </c>
      <c r="I328" s="1">
        <f t="shared" ca="1" si="41"/>
        <v>-75.076074819228239</v>
      </c>
      <c r="K328" s="1">
        <f t="shared" ca="1" si="37"/>
        <v>-8.8072332297251393E-3</v>
      </c>
    </row>
    <row r="329" spans="5:11" x14ac:dyDescent="0.25">
      <c r="E329" s="1">
        <f t="shared" si="38"/>
        <v>638</v>
      </c>
      <c r="F329" s="1">
        <f t="shared" ca="1" si="44"/>
        <v>-78.124906566459558</v>
      </c>
      <c r="G329" s="1">
        <f t="shared" ca="1" si="40"/>
        <v>1.2710166573177681E-2</v>
      </c>
      <c r="H329" s="1">
        <f t="shared" ca="1" si="36"/>
        <v>2.3441543389854009E-2</v>
      </c>
      <c r="I329" s="1">
        <f t="shared" ca="1" si="41"/>
        <v>-75.075909662098638</v>
      </c>
      <c r="K329" s="1">
        <f t="shared" ca="1" si="37"/>
        <v>1.651571295969756E-4</v>
      </c>
    </row>
    <row r="330" spans="5:11" x14ac:dyDescent="0.25">
      <c r="E330" s="1">
        <f t="shared" si="38"/>
        <v>640</v>
      </c>
      <c r="F330" s="1">
        <f t="shared" ca="1" si="44"/>
        <v>-78.099486233313201</v>
      </c>
      <c r="G330" s="1">
        <f t="shared" ca="1" si="40"/>
        <v>5.9593253352885699E-2</v>
      </c>
      <c r="H330" s="1">
        <f t="shared" ref="H330:H393" ca="1" si="45">-k*(F330-I330)/m-(b+bb)*G330</f>
        <v>2.2020787306629565E-2</v>
      </c>
      <c r="I330" s="1">
        <f t="shared" ca="1" si="41"/>
        <v>-75.071552067096931</v>
      </c>
      <c r="K330" s="1">
        <f t="shared" ref="K330:K393" ca="1" si="46">NoiseAmp*(0.5-RAND())</f>
        <v>4.3575950017111544E-3</v>
      </c>
    </row>
    <row r="331" spans="5:11" x14ac:dyDescent="0.25">
      <c r="E331" s="1">
        <f t="shared" ref="E331:E394" si="47">E330+dt</f>
        <v>642</v>
      </c>
      <c r="F331" s="1">
        <f t="shared" ref="F331:F346" ca="1" si="48">F330+G330*dt</f>
        <v>-77.980299726607427</v>
      </c>
      <c r="G331" s="1">
        <f t="shared" ref="G331:G394" ca="1" si="49">IF(ABS(F331)&gt;100,-1.2*G330,G330+H330*dt)</f>
        <v>0.10363482796614483</v>
      </c>
      <c r="H331" s="1">
        <f t="shared" ca="1" si="45"/>
        <v>1.9897645415297989E-2</v>
      </c>
      <c r="I331" s="1">
        <f t="shared" ca="1" si="41"/>
        <v>-75.073240905480418</v>
      </c>
      <c r="K331" s="1">
        <f t="shared" ca="1" si="46"/>
        <v>-1.6888383834895238E-3</v>
      </c>
    </row>
    <row r="332" spans="5:11" x14ac:dyDescent="0.25">
      <c r="E332" s="1">
        <f t="shared" si="47"/>
        <v>644</v>
      </c>
      <c r="F332" s="1">
        <f t="shared" ca="1" si="48"/>
        <v>-77.773030070675134</v>
      </c>
      <c r="G332" s="1">
        <f t="shared" ca="1" si="49"/>
        <v>0.14343011879674081</v>
      </c>
      <c r="H332" s="1">
        <f t="shared" ca="1" si="45"/>
        <v>1.723136485161594E-2</v>
      </c>
      <c r="I332" s="1">
        <f t="shared" ref="I332:I395" ca="1" si="50">I331+K332</f>
        <v>-75.071069553320186</v>
      </c>
      <c r="K332" s="1">
        <f t="shared" ca="1" si="46"/>
        <v>2.1713521602350827E-3</v>
      </c>
    </row>
    <row r="333" spans="5:11" x14ac:dyDescent="0.25">
      <c r="E333" s="1">
        <f t="shared" si="47"/>
        <v>646</v>
      </c>
      <c r="F333" s="1">
        <f t="shared" ca="1" si="48"/>
        <v>-77.486169833081647</v>
      </c>
      <c r="G333" s="1">
        <f t="shared" ca="1" si="49"/>
        <v>0.17789284849997269</v>
      </c>
      <c r="H333" s="1">
        <f t="shared" ca="1" si="45"/>
        <v>1.4107146004892875E-2</v>
      </c>
      <c r="I333" s="1">
        <f t="shared" ca="1" si="50"/>
        <v>-75.066339788890346</v>
      </c>
      <c r="K333" s="1">
        <f t="shared" ca="1" si="46"/>
        <v>4.7297644298359481E-3</v>
      </c>
    </row>
    <row r="334" spans="5:11" x14ac:dyDescent="0.25">
      <c r="E334" s="1">
        <f t="shared" si="47"/>
        <v>648</v>
      </c>
      <c r="F334" s="1">
        <f t="shared" ca="1" si="48"/>
        <v>-77.130384136081702</v>
      </c>
      <c r="G334" s="1">
        <f t="shared" ca="1" si="49"/>
        <v>0.20610714050975845</v>
      </c>
      <c r="H334" s="1">
        <f t="shared" ca="1" si="45"/>
        <v>1.062664948863536E-2</v>
      </c>
      <c r="I334" s="1">
        <f t="shared" ca="1" si="50"/>
        <v>-75.059830180402614</v>
      </c>
      <c r="K334" s="1">
        <f t="shared" ca="1" si="46"/>
        <v>6.5096084877386672E-3</v>
      </c>
    </row>
    <row r="335" spans="5:11" x14ac:dyDescent="0.25">
      <c r="E335" s="1">
        <f t="shared" si="47"/>
        <v>650</v>
      </c>
      <c r="F335" s="1">
        <f t="shared" ca="1" si="48"/>
        <v>-76.718169855062186</v>
      </c>
      <c r="G335" s="1">
        <f t="shared" ca="1" si="49"/>
        <v>0.22736043948702916</v>
      </c>
      <c r="H335" s="1">
        <f t="shared" ca="1" si="45"/>
        <v>6.7661434170802467E-3</v>
      </c>
      <c r="I335" s="1">
        <f t="shared" ca="1" si="50"/>
        <v>-75.069528419763131</v>
      </c>
      <c r="K335" s="1">
        <f t="shared" ca="1" si="46"/>
        <v>-9.6982393605210444E-3</v>
      </c>
    </row>
    <row r="336" spans="5:11" x14ac:dyDescent="0.25">
      <c r="E336" s="1">
        <f t="shared" si="47"/>
        <v>652</v>
      </c>
      <c r="F336" s="1">
        <f t="shared" ca="1" si="48"/>
        <v>-76.263448976088128</v>
      </c>
      <c r="G336" s="1">
        <f t="shared" ca="1" si="49"/>
        <v>0.24089272632118966</v>
      </c>
      <c r="H336" s="1">
        <f t="shared" ca="1" si="45"/>
        <v>2.8949375093116816E-3</v>
      </c>
      <c r="I336" s="1">
        <f t="shared" ca="1" si="50"/>
        <v>-75.064620440867671</v>
      </c>
      <c r="K336" s="1">
        <f t="shared" ca="1" si="46"/>
        <v>4.9079788954599635E-3</v>
      </c>
    </row>
    <row r="337" spans="5:11" x14ac:dyDescent="0.25">
      <c r="E337" s="1">
        <f t="shared" si="47"/>
        <v>654</v>
      </c>
      <c r="F337" s="1">
        <f t="shared" ca="1" si="48"/>
        <v>-75.781663523445744</v>
      </c>
      <c r="G337" s="1">
        <f t="shared" ca="1" si="49"/>
        <v>0.24668260133981301</v>
      </c>
      <c r="H337" s="1">
        <f t="shared" ca="1" si="45"/>
        <v>-9.7480154229192314E-4</v>
      </c>
      <c r="I337" s="1">
        <f t="shared" ca="1" si="50"/>
        <v>-75.059061962725863</v>
      </c>
      <c r="K337" s="1">
        <f t="shared" ca="1" si="46"/>
        <v>5.5584781418017348E-3</v>
      </c>
    </row>
    <row r="338" spans="5:11" x14ac:dyDescent="0.25">
      <c r="E338" s="1">
        <f t="shared" si="47"/>
        <v>656</v>
      </c>
      <c r="F338" s="1">
        <f t="shared" ca="1" si="48"/>
        <v>-75.288298320766117</v>
      </c>
      <c r="G338" s="1">
        <f t="shared" ca="1" si="49"/>
        <v>0.24473299825522918</v>
      </c>
      <c r="H338" s="1">
        <f t="shared" ca="1" si="45"/>
        <v>-4.7668101958039596E-3</v>
      </c>
      <c r="I338" s="1">
        <f t="shared" ca="1" si="50"/>
        <v>-75.058550351864042</v>
      </c>
      <c r="K338" s="1">
        <f t="shared" ca="1" si="46"/>
        <v>5.1161086182662354E-4</v>
      </c>
    </row>
    <row r="339" spans="5:11" x14ac:dyDescent="0.25">
      <c r="E339" s="1">
        <f t="shared" si="47"/>
        <v>658</v>
      </c>
      <c r="F339" s="1">
        <f t="shared" ca="1" si="48"/>
        <v>-74.798832324255656</v>
      </c>
      <c r="G339" s="1">
        <f t="shared" ca="1" si="49"/>
        <v>0.23519937786362127</v>
      </c>
      <c r="H339" s="1">
        <f t="shared" ca="1" si="45"/>
        <v>-8.3982401952165976E-3</v>
      </c>
      <c r="I339" s="1">
        <f t="shared" ca="1" si="50"/>
        <v>-75.067408845854573</v>
      </c>
      <c r="K339" s="1">
        <f t="shared" ca="1" si="46"/>
        <v>-8.8584939905336311E-3</v>
      </c>
    </row>
    <row r="340" spans="5:11" x14ac:dyDescent="0.25">
      <c r="E340" s="1">
        <f t="shared" si="47"/>
        <v>660</v>
      </c>
      <c r="F340" s="1">
        <f t="shared" ca="1" si="48"/>
        <v>-74.328433568528411</v>
      </c>
      <c r="G340" s="1">
        <f t="shared" ca="1" si="49"/>
        <v>0.21840289747318808</v>
      </c>
      <c r="H340" s="1">
        <f t="shared" ca="1" si="45"/>
        <v>-1.1694990845259602E-2</v>
      </c>
      <c r="I340" s="1">
        <f t="shared" ca="1" si="50"/>
        <v>-75.077381413782021</v>
      </c>
      <c r="K340" s="1">
        <f t="shared" ca="1" si="46"/>
        <v>-9.9725679274418645E-3</v>
      </c>
    </row>
    <row r="341" spans="5:11" x14ac:dyDescent="0.25">
      <c r="E341" s="1">
        <f t="shared" si="47"/>
        <v>662</v>
      </c>
      <c r="F341" s="1">
        <f t="shared" ca="1" si="48"/>
        <v>-73.89162777358203</v>
      </c>
      <c r="G341" s="1">
        <f t="shared" ca="1" si="49"/>
        <v>0.19501291578266888</v>
      </c>
      <c r="H341" s="1">
        <f t="shared" ca="1" si="45"/>
        <v>-1.4407921118105557E-2</v>
      </c>
      <c r="I341" s="1">
        <f t="shared" ca="1" si="50"/>
        <v>-75.068752770393573</v>
      </c>
      <c r="K341" s="1">
        <f t="shared" ca="1" si="46"/>
        <v>8.6286433884416106E-3</v>
      </c>
    </row>
    <row r="342" spans="5:11" x14ac:dyDescent="0.25">
      <c r="E342" s="1">
        <f t="shared" si="47"/>
        <v>664</v>
      </c>
      <c r="F342" s="1">
        <f t="shared" ca="1" si="48"/>
        <v>-73.501601942016691</v>
      </c>
      <c r="G342" s="1">
        <f t="shared" ca="1" si="49"/>
        <v>0.16619707354645777</v>
      </c>
      <c r="H342" s="1">
        <f t="shared" ca="1" si="45"/>
        <v>-1.6615597971560692E-2</v>
      </c>
      <c r="I342" s="1">
        <f t="shared" ca="1" si="50"/>
        <v>-75.060770711313566</v>
      </c>
      <c r="K342" s="1">
        <f t="shared" ca="1" si="46"/>
        <v>7.9820590800094814E-3</v>
      </c>
    </row>
    <row r="343" spans="5:11" x14ac:dyDescent="0.25">
      <c r="E343" s="1">
        <f t="shared" si="47"/>
        <v>666</v>
      </c>
      <c r="F343" s="1">
        <f t="shared" ca="1" si="48"/>
        <v>-73.169207794923778</v>
      </c>
      <c r="G343" s="1">
        <f t="shared" ca="1" si="49"/>
        <v>0.13296587760333639</v>
      </c>
      <c r="H343" s="1">
        <f t="shared" ca="1" si="45"/>
        <v>-1.8275385620498939E-2</v>
      </c>
      <c r="I343" s="1">
        <f t="shared" ca="1" si="50"/>
        <v>-75.055348833478845</v>
      </c>
      <c r="K343" s="1">
        <f t="shared" ca="1" si="46"/>
        <v>5.4218778347176408E-3</v>
      </c>
    </row>
    <row r="344" spans="5:11" x14ac:dyDescent="0.25">
      <c r="E344" s="1">
        <f t="shared" si="47"/>
        <v>668</v>
      </c>
      <c r="F344" s="1">
        <f t="shared" ca="1" si="48"/>
        <v>-72.903276039717099</v>
      </c>
      <c r="G344" s="1">
        <f t="shared" ca="1" si="49"/>
        <v>9.6415106362338521E-2</v>
      </c>
      <c r="H344" s="1">
        <f t="shared" ca="1" si="45"/>
        <v>-1.9439294340880008E-2</v>
      </c>
      <c r="I344" s="1">
        <f t="shared" ca="1" si="50"/>
        <v>-75.064220846174706</v>
      </c>
      <c r="K344" s="1">
        <f t="shared" ca="1" si="46"/>
        <v>-8.8720126958606281E-3</v>
      </c>
    </row>
    <row r="345" spans="5:11" x14ac:dyDescent="0.25">
      <c r="E345" s="1">
        <f t="shared" si="47"/>
        <v>670</v>
      </c>
      <c r="F345" s="1">
        <f t="shared" ca="1" si="48"/>
        <v>-72.710445826992427</v>
      </c>
      <c r="G345" s="1">
        <f t="shared" ca="1" si="49"/>
        <v>5.7536517680578506E-2</v>
      </c>
      <c r="H345" s="1">
        <f t="shared" ca="1" si="45"/>
        <v>-1.9968002163639052E-2</v>
      </c>
      <c r="I345" s="1">
        <f t="shared" ca="1" si="50"/>
        <v>-75.072756530812882</v>
      </c>
      <c r="K345" s="1">
        <f t="shared" ca="1" si="46"/>
        <v>-8.5356846381736649E-3</v>
      </c>
    </row>
    <row r="346" spans="5:11" x14ac:dyDescent="0.25">
      <c r="E346" s="1">
        <f t="shared" si="47"/>
        <v>672</v>
      </c>
      <c r="F346" s="1">
        <f t="shared" ca="1" si="48"/>
        <v>-72.595372791631263</v>
      </c>
      <c r="G346" s="1">
        <f t="shared" ca="1" si="49"/>
        <v>1.7600513353300401E-2</v>
      </c>
      <c r="H346" s="1">
        <f t="shared" ca="1" si="45"/>
        <v>-1.9866310460201146E-2</v>
      </c>
      <c r="I346" s="1">
        <f t="shared" ca="1" si="50"/>
        <v>-75.081862112443147</v>
      </c>
      <c r="K346" s="1">
        <f t="shared" ca="1" si="46"/>
        <v>-9.105581630264455E-3</v>
      </c>
    </row>
    <row r="347" spans="5:11" x14ac:dyDescent="0.25">
      <c r="E347" s="1">
        <f t="shared" si="47"/>
        <v>674</v>
      </c>
      <c r="F347" s="1">
        <f t="shared" ref="F347:F362" ca="1" si="51">F346+G346*dt</f>
        <v>-72.560171764924661</v>
      </c>
      <c r="G347" s="1">
        <f t="shared" ca="1" si="49"/>
        <v>-2.2132107567101891E-2</v>
      </c>
      <c r="H347" s="1">
        <f t="shared" ca="1" si="45"/>
        <v>-1.9084330531166201E-2</v>
      </c>
      <c r="I347" s="1">
        <f t="shared" ca="1" si="50"/>
        <v>-75.082924459022678</v>
      </c>
      <c r="K347" s="1">
        <f t="shared" ca="1" si="46"/>
        <v>-1.0623465795293319E-3</v>
      </c>
    </row>
    <row r="348" spans="5:11" x14ac:dyDescent="0.25">
      <c r="E348" s="1">
        <f t="shared" si="47"/>
        <v>676</v>
      </c>
      <c r="F348" s="1">
        <f t="shared" ca="1" si="51"/>
        <v>-72.604435980058867</v>
      </c>
      <c r="G348" s="1">
        <f t="shared" ca="1" si="49"/>
        <v>-6.0300768629434294E-2</v>
      </c>
      <c r="H348" s="1">
        <f t="shared" ca="1" si="45"/>
        <v>-1.7670563955941021E-2</v>
      </c>
      <c r="I348" s="1">
        <f t="shared" ca="1" si="50"/>
        <v>-75.07708015380372</v>
      </c>
      <c r="K348" s="1">
        <f t="shared" ca="1" si="46"/>
        <v>5.8443052189614412E-3</v>
      </c>
    </row>
    <row r="349" spans="5:11" x14ac:dyDescent="0.25">
      <c r="E349" s="1">
        <f t="shared" si="47"/>
        <v>678</v>
      </c>
      <c r="F349" s="1">
        <f t="shared" ca="1" si="51"/>
        <v>-72.72503751731773</v>
      </c>
      <c r="G349" s="1">
        <f t="shared" ca="1" si="49"/>
        <v>-9.5641896541316329E-2</v>
      </c>
      <c r="H349" s="1">
        <f t="shared" ca="1" si="45"/>
        <v>-1.5755983767315081E-2</v>
      </c>
      <c r="I349" s="1">
        <f t="shared" ca="1" si="50"/>
        <v>-75.073651183294956</v>
      </c>
      <c r="K349" s="1">
        <f t="shared" ca="1" si="46"/>
        <v>3.4289705087645083E-3</v>
      </c>
    </row>
    <row r="350" spans="5:11" x14ac:dyDescent="0.25">
      <c r="E350" s="1">
        <f t="shared" si="47"/>
        <v>680</v>
      </c>
      <c r="F350" s="1">
        <f t="shared" ca="1" si="51"/>
        <v>-72.916321310400363</v>
      </c>
      <c r="G350" s="1">
        <f t="shared" ca="1" si="49"/>
        <v>-0.12715386407594648</v>
      </c>
      <c r="H350" s="1">
        <f t="shared" ca="1" si="45"/>
        <v>-1.3346647730510064E-2</v>
      </c>
      <c r="I350" s="1">
        <f t="shared" ca="1" si="50"/>
        <v>-75.064317629342085</v>
      </c>
      <c r="K350" s="1">
        <f t="shared" ca="1" si="46"/>
        <v>9.3335539528647572E-3</v>
      </c>
    </row>
    <row r="351" spans="5:11" x14ac:dyDescent="0.25">
      <c r="E351" s="1">
        <f t="shared" si="47"/>
        <v>682</v>
      </c>
      <c r="F351" s="1">
        <f t="shared" ca="1" si="51"/>
        <v>-73.170629038552249</v>
      </c>
      <c r="G351" s="1">
        <f t="shared" ca="1" si="49"/>
        <v>-0.15384715953696659</v>
      </c>
      <c r="H351" s="1">
        <f t="shared" ca="1" si="45"/>
        <v>-1.0577223871481068E-2</v>
      </c>
      <c r="I351" s="1">
        <f t="shared" ca="1" si="50"/>
        <v>-75.055286442022989</v>
      </c>
      <c r="K351" s="1">
        <f t="shared" ca="1" si="46"/>
        <v>9.03118731909122E-3</v>
      </c>
    </row>
    <row r="352" spans="5:11" x14ac:dyDescent="0.25">
      <c r="E352" s="1">
        <f t="shared" si="47"/>
        <v>684</v>
      </c>
      <c r="F352" s="1">
        <f t="shared" ca="1" si="51"/>
        <v>-73.478323357626181</v>
      </c>
      <c r="G352" s="1">
        <f t="shared" ca="1" si="49"/>
        <v>-0.17500160727992872</v>
      </c>
      <c r="H352" s="1">
        <f t="shared" ca="1" si="45"/>
        <v>-7.6384969583309812E-3</v>
      </c>
      <c r="I352" s="1">
        <f t="shared" ca="1" si="50"/>
        <v>-75.058905413194523</v>
      </c>
      <c r="K352" s="1">
        <f t="shared" ca="1" si="46"/>
        <v>-3.6189711715281891E-3</v>
      </c>
    </row>
    <row r="353" spans="5:11" x14ac:dyDescent="0.25">
      <c r="E353" s="1">
        <f t="shared" si="47"/>
        <v>686</v>
      </c>
      <c r="F353" s="1">
        <f t="shared" ca="1" si="51"/>
        <v>-73.828326572186043</v>
      </c>
      <c r="G353" s="1">
        <f t="shared" ca="1" si="49"/>
        <v>-0.19027860119659068</v>
      </c>
      <c r="H353" s="1">
        <f t="shared" ca="1" si="45"/>
        <v>-4.4870093033555032E-3</v>
      </c>
      <c r="I353" s="1">
        <f t="shared" ca="1" si="50"/>
        <v>-75.057361933137855</v>
      </c>
      <c r="K353" s="1">
        <f t="shared" ca="1" si="46"/>
        <v>1.5434800566639306E-3</v>
      </c>
    </row>
    <row r="354" spans="5:11" x14ac:dyDescent="0.25">
      <c r="E354" s="1">
        <f t="shared" si="47"/>
        <v>688</v>
      </c>
      <c r="F354" s="1">
        <f t="shared" ca="1" si="51"/>
        <v>-74.20888377457922</v>
      </c>
      <c r="G354" s="1">
        <f t="shared" ca="1" si="49"/>
        <v>-0.19925261980330169</v>
      </c>
      <c r="H354" s="1">
        <f t="shared" ca="1" si="45"/>
        <v>-1.2769872690358381E-3</v>
      </c>
      <c r="I354" s="1">
        <f t="shared" ca="1" si="50"/>
        <v>-75.057211656600288</v>
      </c>
      <c r="K354" s="1">
        <f t="shared" ca="1" si="46"/>
        <v>1.502765375668491E-4</v>
      </c>
    </row>
    <row r="355" spans="5:11" x14ac:dyDescent="0.25">
      <c r="E355" s="1">
        <f t="shared" si="47"/>
        <v>690</v>
      </c>
      <c r="F355" s="1">
        <f t="shared" ca="1" si="51"/>
        <v>-74.607389014185827</v>
      </c>
      <c r="G355" s="1">
        <f t="shared" ca="1" si="49"/>
        <v>-0.20180659434137338</v>
      </c>
      <c r="H355" s="1">
        <f t="shared" ca="1" si="45"/>
        <v>1.9594052451508059E-3</v>
      </c>
      <c r="I355" s="1">
        <f t="shared" ca="1" si="50"/>
        <v>-75.049569973570186</v>
      </c>
      <c r="K355" s="1">
        <f t="shared" ca="1" si="46"/>
        <v>7.6416830301053486E-3</v>
      </c>
    </row>
    <row r="356" spans="5:11" x14ac:dyDescent="0.25">
      <c r="E356" s="1">
        <f t="shared" si="47"/>
        <v>692</v>
      </c>
      <c r="F356" s="1">
        <f t="shared" ca="1" si="51"/>
        <v>-75.011002202868568</v>
      </c>
      <c r="G356" s="1">
        <f t="shared" ca="1" si="49"/>
        <v>-0.19788778385107178</v>
      </c>
      <c r="H356" s="1">
        <f t="shared" ca="1" si="45"/>
        <v>4.9249448662084059E-3</v>
      </c>
      <c r="I356" s="1">
        <f t="shared" ca="1" si="50"/>
        <v>-75.059521144022455</v>
      </c>
      <c r="K356" s="1">
        <f t="shared" ca="1" si="46"/>
        <v>-9.9511704522662336E-3</v>
      </c>
    </row>
    <row r="357" spans="5:11" x14ac:dyDescent="0.25">
      <c r="E357" s="1">
        <f t="shared" si="47"/>
        <v>694</v>
      </c>
      <c r="F357" s="1">
        <f t="shared" ca="1" si="51"/>
        <v>-75.406777770570713</v>
      </c>
      <c r="G357" s="1">
        <f t="shared" ca="1" si="49"/>
        <v>-0.18803789411865496</v>
      </c>
      <c r="H357" s="1">
        <f t="shared" ca="1" si="45"/>
        <v>7.761776905344144E-3</v>
      </c>
      <c r="I357" s="1">
        <f t="shared" ca="1" si="50"/>
        <v>-75.057757085575304</v>
      </c>
      <c r="K357" s="1">
        <f t="shared" ca="1" si="46"/>
        <v>1.7640584471496391E-3</v>
      </c>
    </row>
    <row r="358" spans="5:11" x14ac:dyDescent="0.25">
      <c r="E358" s="1">
        <f t="shared" si="47"/>
        <v>696</v>
      </c>
      <c r="F358" s="1">
        <f t="shared" ca="1" si="51"/>
        <v>-75.782853558808029</v>
      </c>
      <c r="G358" s="1">
        <f t="shared" ca="1" si="49"/>
        <v>-0.17251434030796667</v>
      </c>
      <c r="H358" s="1">
        <f t="shared" ca="1" si="45"/>
        <v>1.0236857816357735E-2</v>
      </c>
      <c r="I358" s="1">
        <f t="shared" ca="1" si="50"/>
        <v>-75.063177469563897</v>
      </c>
      <c r="K358" s="1">
        <f t="shared" ca="1" si="46"/>
        <v>-5.4203839885941284E-3</v>
      </c>
    </row>
    <row r="359" spans="5:11" x14ac:dyDescent="0.25">
      <c r="E359" s="1">
        <f t="shared" si="47"/>
        <v>698</v>
      </c>
      <c r="F359" s="1">
        <f t="shared" ca="1" si="51"/>
        <v>-76.127882239423968</v>
      </c>
      <c r="G359" s="1">
        <f t="shared" ca="1" si="49"/>
        <v>-0.1520406246752512</v>
      </c>
      <c r="H359" s="1">
        <f t="shared" ca="1" si="45"/>
        <v>1.23221605011536E-2</v>
      </c>
      <c r="I359" s="1">
        <f t="shared" ca="1" si="50"/>
        <v>-75.070514065083344</v>
      </c>
      <c r="K359" s="1">
        <f t="shared" ca="1" si="46"/>
        <v>-7.3365955194405388E-3</v>
      </c>
    </row>
    <row r="360" spans="5:11" x14ac:dyDescent="0.25">
      <c r="E360" s="1">
        <f t="shared" si="47"/>
        <v>700</v>
      </c>
      <c r="F360" s="1">
        <f t="shared" ca="1" si="51"/>
        <v>-76.431963488774471</v>
      </c>
      <c r="G360" s="1">
        <f t="shared" ca="1" si="49"/>
        <v>-0.12739630367294399</v>
      </c>
      <c r="H360" s="1">
        <f t="shared" ca="1" si="45"/>
        <v>1.3992172121571955E-2</v>
      </c>
      <c r="I360" s="1">
        <f t="shared" ca="1" si="50"/>
        <v>-75.075815901192797</v>
      </c>
      <c r="K360" s="1">
        <f t="shared" ca="1" si="46"/>
        <v>-5.3018361094530507E-3</v>
      </c>
    </row>
    <row r="361" spans="5:11" x14ac:dyDescent="0.25">
      <c r="E361" s="1">
        <f t="shared" si="47"/>
        <v>702</v>
      </c>
      <c r="F361" s="1">
        <f t="shared" ca="1" si="51"/>
        <v>-76.686756096120362</v>
      </c>
      <c r="G361" s="1">
        <f t="shared" ca="1" si="49"/>
        <v>-9.9411959429800079E-2</v>
      </c>
      <c r="H361" s="1">
        <f t="shared" ca="1" si="45"/>
        <v>1.5206953997527976E-2</v>
      </c>
      <c r="I361" s="1">
        <f t="shared" ca="1" si="50"/>
        <v>-75.078715905760191</v>
      </c>
      <c r="K361" s="1">
        <f t="shared" ca="1" si="46"/>
        <v>-2.9000045673893407E-3</v>
      </c>
    </row>
    <row r="362" spans="5:11" x14ac:dyDescent="0.25">
      <c r="E362" s="1">
        <f t="shared" si="47"/>
        <v>704</v>
      </c>
      <c r="F362" s="1">
        <f t="shared" ca="1" si="51"/>
        <v>-76.885580014979965</v>
      </c>
      <c r="G362" s="1">
        <f t="shared" ca="1" si="49"/>
        <v>-6.8998051434744134E-2</v>
      </c>
      <c r="H362" s="1">
        <f t="shared" ca="1" si="45"/>
        <v>1.5873337691280524E-2</v>
      </c>
      <c r="I362" s="1">
        <f t="shared" ca="1" si="50"/>
        <v>-75.087606949232608</v>
      </c>
      <c r="K362" s="1">
        <f t="shared" ca="1" si="46"/>
        <v>-8.8910434724138419E-3</v>
      </c>
    </row>
    <row r="363" spans="5:11" x14ac:dyDescent="0.25">
      <c r="E363" s="1">
        <f t="shared" si="47"/>
        <v>706</v>
      </c>
      <c r="F363" s="1">
        <f t="shared" ref="F363:F378" ca="1" si="52">F362+G362*dt</f>
        <v>-77.023576117849458</v>
      </c>
      <c r="G363" s="1">
        <f t="shared" ca="1" si="49"/>
        <v>-3.7251376052183087E-2</v>
      </c>
      <c r="H363" s="1">
        <f t="shared" ca="1" si="45"/>
        <v>1.6140293137259978E-2</v>
      </c>
      <c r="I363" s="1">
        <f t="shared" ca="1" si="50"/>
        <v>-75.082299674380039</v>
      </c>
      <c r="K363" s="1">
        <f t="shared" ca="1" si="46"/>
        <v>5.3072748525761293E-3</v>
      </c>
    </row>
    <row r="364" spans="5:11" x14ac:dyDescent="0.25">
      <c r="E364" s="1">
        <f t="shared" si="47"/>
        <v>708</v>
      </c>
      <c r="F364" s="1">
        <f t="shared" ca="1" si="52"/>
        <v>-77.098078869953824</v>
      </c>
      <c r="G364" s="1">
        <f t="shared" ca="1" si="49"/>
        <v>-4.9707897776631316E-3</v>
      </c>
      <c r="H364" s="1">
        <f t="shared" ca="1" si="45"/>
        <v>1.5826657263005965E-2</v>
      </c>
      <c r="I364" s="1">
        <f t="shared" ca="1" si="50"/>
        <v>-75.086099370342978</v>
      </c>
      <c r="K364" s="1">
        <f t="shared" ca="1" si="46"/>
        <v>-3.799695962937191E-3</v>
      </c>
    </row>
    <row r="365" spans="5:11" x14ac:dyDescent="0.25">
      <c r="E365" s="1">
        <f t="shared" si="47"/>
        <v>710</v>
      </c>
      <c r="F365" s="1">
        <f t="shared" ca="1" si="52"/>
        <v>-77.108020449509155</v>
      </c>
      <c r="G365" s="1">
        <f t="shared" ca="1" si="49"/>
        <v>2.6682524748348799E-2</v>
      </c>
      <c r="H365" s="1">
        <f t="shared" ca="1" si="45"/>
        <v>1.4980458753202584E-2</v>
      </c>
      <c r="I365" s="1">
        <f t="shared" ca="1" si="50"/>
        <v>-75.095770396117061</v>
      </c>
      <c r="K365" s="1">
        <f t="shared" ca="1" si="46"/>
        <v>-9.6710257740799787E-3</v>
      </c>
    </row>
    <row r="366" spans="5:11" x14ac:dyDescent="0.25">
      <c r="E366" s="1">
        <f t="shared" si="47"/>
        <v>712</v>
      </c>
      <c r="F366" s="1">
        <f t="shared" ca="1" si="52"/>
        <v>-77.054655400012464</v>
      </c>
      <c r="G366" s="1">
        <f t="shared" ca="1" si="49"/>
        <v>5.664344225475397E-2</v>
      </c>
      <c r="H366" s="1">
        <f t="shared" ca="1" si="45"/>
        <v>1.3838327333404819E-2</v>
      </c>
      <c r="I366" s="1">
        <f t="shared" ca="1" si="50"/>
        <v>-75.085889812085256</v>
      </c>
      <c r="K366" s="1">
        <f t="shared" ca="1" si="46"/>
        <v>9.8805840318083957E-3</v>
      </c>
    </row>
    <row r="367" spans="5:11" x14ac:dyDescent="0.25">
      <c r="E367" s="1">
        <f t="shared" si="47"/>
        <v>714</v>
      </c>
      <c r="F367" s="1">
        <f t="shared" ca="1" si="52"/>
        <v>-76.941368515502958</v>
      </c>
      <c r="G367" s="1">
        <f t="shared" ca="1" si="49"/>
        <v>8.4320096921563614E-2</v>
      </c>
      <c r="H367" s="1">
        <f t="shared" ca="1" si="45"/>
        <v>1.2290905447397787E-2</v>
      </c>
      <c r="I367" s="1">
        <f t="shared" ca="1" si="50"/>
        <v>-75.075896202054793</v>
      </c>
      <c r="K367" s="1">
        <f t="shared" ca="1" si="46"/>
        <v>9.9936100304616506E-3</v>
      </c>
    </row>
    <row r="368" spans="5:11" x14ac:dyDescent="0.25">
      <c r="E368" s="1">
        <f t="shared" si="47"/>
        <v>716</v>
      </c>
      <c r="F368" s="1">
        <f t="shared" ca="1" si="52"/>
        <v>-76.772728321659827</v>
      </c>
      <c r="G368" s="1">
        <f t="shared" ca="1" si="49"/>
        <v>0.10890190781635919</v>
      </c>
      <c r="H368" s="1">
        <f t="shared" ca="1" si="45"/>
        <v>1.0368390924648583E-2</v>
      </c>
      <c r="I368" s="1">
        <f t="shared" ca="1" si="50"/>
        <v>-75.0692716480538</v>
      </c>
      <c r="K368" s="1">
        <f t="shared" ca="1" si="46"/>
        <v>6.6245540009987501E-3</v>
      </c>
    </row>
    <row r="369" spans="5:11" x14ac:dyDescent="0.25">
      <c r="E369" s="1">
        <f t="shared" si="47"/>
        <v>718</v>
      </c>
      <c r="F369" s="1">
        <f t="shared" ca="1" si="52"/>
        <v>-76.554924506027106</v>
      </c>
      <c r="G369" s="1">
        <f t="shared" ca="1" si="49"/>
        <v>0.12963868966565636</v>
      </c>
      <c r="H369" s="1">
        <f t="shared" ca="1" si="45"/>
        <v>8.0853781501262854E-3</v>
      </c>
      <c r="I369" s="1">
        <f t="shared" ca="1" si="50"/>
        <v>-75.072912322287891</v>
      </c>
      <c r="K369" s="1">
        <f t="shared" ca="1" si="46"/>
        <v>-3.640674234096304E-3</v>
      </c>
    </row>
    <row r="370" spans="5:11" x14ac:dyDescent="0.25">
      <c r="E370" s="1">
        <f t="shared" si="47"/>
        <v>720</v>
      </c>
      <c r="F370" s="1">
        <f t="shared" ca="1" si="52"/>
        <v>-76.295647126695798</v>
      </c>
      <c r="G370" s="1">
        <f t="shared" ca="1" si="49"/>
        <v>0.14580944596590895</v>
      </c>
      <c r="H370" s="1">
        <f t="shared" ca="1" si="45"/>
        <v>5.6587461748892481E-3</v>
      </c>
      <c r="I370" s="1">
        <f t="shared" ca="1" si="50"/>
        <v>-75.06918054633995</v>
      </c>
      <c r="K370" s="1">
        <f t="shared" ca="1" si="46"/>
        <v>3.7317759479453174E-3</v>
      </c>
    </row>
    <row r="371" spans="5:11" x14ac:dyDescent="0.25">
      <c r="E371" s="1">
        <f t="shared" si="47"/>
        <v>722</v>
      </c>
      <c r="F371" s="1">
        <f t="shared" ca="1" si="52"/>
        <v>-76.004028234763979</v>
      </c>
      <c r="G371" s="1">
        <f t="shared" ca="1" si="49"/>
        <v>0.15712693831568744</v>
      </c>
      <c r="H371" s="1">
        <f t="shared" ca="1" si="45"/>
        <v>3.0842496356458353E-3</v>
      </c>
      <c r="I371" s="1">
        <f t="shared" ca="1" si="50"/>
        <v>-75.068739570340099</v>
      </c>
      <c r="K371" s="1">
        <f t="shared" ca="1" si="46"/>
        <v>4.4097599984572745E-4</v>
      </c>
    </row>
    <row r="372" spans="5:11" x14ac:dyDescent="0.25">
      <c r="E372" s="1">
        <f t="shared" si="47"/>
        <v>724</v>
      </c>
      <c r="F372" s="1">
        <f t="shared" ca="1" si="52"/>
        <v>-75.68977435813261</v>
      </c>
      <c r="G372" s="1">
        <f t="shared" ca="1" si="49"/>
        <v>0.16329543758697912</v>
      </c>
      <c r="H372" s="1">
        <f t="shared" ca="1" si="45"/>
        <v>5.3942184533425312E-4</v>
      </c>
      <c r="I372" s="1">
        <f t="shared" ca="1" si="50"/>
        <v>-75.059551335996034</v>
      </c>
      <c r="K372" s="1">
        <f t="shared" ca="1" si="46"/>
        <v>9.188234344065219E-3</v>
      </c>
    </row>
    <row r="373" spans="5:11" x14ac:dyDescent="0.25">
      <c r="E373" s="1">
        <f t="shared" si="47"/>
        <v>726</v>
      </c>
      <c r="F373" s="1">
        <f t="shared" ca="1" si="52"/>
        <v>-75.363183482958647</v>
      </c>
      <c r="G373" s="1">
        <f t="shared" ca="1" si="49"/>
        <v>0.16437428127764764</v>
      </c>
      <c r="H373" s="1">
        <f t="shared" ca="1" si="45"/>
        <v>-1.979404839438047E-3</v>
      </c>
      <c r="I373" s="1">
        <f t="shared" ca="1" si="50"/>
        <v>-75.052180162599299</v>
      </c>
      <c r="K373" s="1">
        <f t="shared" ca="1" si="46"/>
        <v>7.3711733967410063E-3</v>
      </c>
    </row>
    <row r="374" spans="5:11" x14ac:dyDescent="0.25">
      <c r="E374" s="1">
        <f t="shared" si="47"/>
        <v>728</v>
      </c>
      <c r="F374" s="1">
        <f t="shared" ca="1" si="52"/>
        <v>-75.034434920403356</v>
      </c>
      <c r="G374" s="1">
        <f t="shared" ca="1" si="49"/>
        <v>0.16041547159877154</v>
      </c>
      <c r="H374" s="1">
        <f t="shared" ca="1" si="45"/>
        <v>-4.3818690700719413E-3</v>
      </c>
      <c r="I374" s="1">
        <f t="shared" ca="1" si="50"/>
        <v>-75.045041898765518</v>
      </c>
      <c r="K374" s="1">
        <f t="shared" ca="1" si="46"/>
        <v>7.1382638337860052E-3</v>
      </c>
    </row>
    <row r="375" spans="5:11" x14ac:dyDescent="0.25">
      <c r="E375" s="1">
        <f t="shared" si="47"/>
        <v>730</v>
      </c>
      <c r="F375" s="1">
        <f t="shared" ca="1" si="52"/>
        <v>-74.713603977205807</v>
      </c>
      <c r="G375" s="1">
        <f t="shared" ca="1" si="49"/>
        <v>0.15165173345862765</v>
      </c>
      <c r="H375" s="1">
        <f t="shared" ca="1" si="45"/>
        <v>-6.5722230441224612E-3</v>
      </c>
      <c r="I375" s="1">
        <f t="shared" ca="1" si="50"/>
        <v>-75.035136873030325</v>
      </c>
      <c r="K375" s="1">
        <f t="shared" ca="1" si="46"/>
        <v>9.9050257351894332E-3</v>
      </c>
    </row>
    <row r="376" spans="5:11" x14ac:dyDescent="0.25">
      <c r="E376" s="1">
        <f t="shared" si="47"/>
        <v>732</v>
      </c>
      <c r="F376" s="1">
        <f t="shared" ca="1" si="52"/>
        <v>-74.41030051028855</v>
      </c>
      <c r="G376" s="1">
        <f t="shared" ca="1" si="49"/>
        <v>0.13850728737038273</v>
      </c>
      <c r="H376" s="1">
        <f t="shared" ca="1" si="45"/>
        <v>-8.576670309593722E-3</v>
      </c>
      <c r="I376" s="1">
        <f t="shared" ca="1" si="50"/>
        <v>-75.033976793374123</v>
      </c>
      <c r="K376" s="1">
        <f t="shared" ca="1" si="46"/>
        <v>1.1600796562054483E-3</v>
      </c>
    </row>
    <row r="377" spans="5:11" x14ac:dyDescent="0.25">
      <c r="E377" s="1">
        <f t="shared" si="47"/>
        <v>734</v>
      </c>
      <c r="F377" s="1">
        <f t="shared" ca="1" si="52"/>
        <v>-74.133285935547789</v>
      </c>
      <c r="G377" s="1">
        <f t="shared" ca="1" si="49"/>
        <v>0.12135394675119529</v>
      </c>
      <c r="H377" s="1">
        <f t="shared" ca="1" si="45"/>
        <v>-1.0225568930085083E-2</v>
      </c>
      <c r="I377" s="1">
        <f t="shared" ca="1" si="50"/>
        <v>-75.027296596721257</v>
      </c>
      <c r="K377" s="1">
        <f t="shared" ca="1" si="46"/>
        <v>6.6801966528660392E-3</v>
      </c>
    </row>
    <row r="378" spans="5:11" x14ac:dyDescent="0.25">
      <c r="E378" s="1">
        <f t="shared" si="47"/>
        <v>736</v>
      </c>
      <c r="F378" s="1">
        <f t="shared" ca="1" si="52"/>
        <v>-73.890578042045405</v>
      </c>
      <c r="G378" s="1">
        <f t="shared" ca="1" si="49"/>
        <v>0.10090280889102513</v>
      </c>
      <c r="H378" s="1">
        <f t="shared" ca="1" si="45"/>
        <v>-1.1577262576757062E-2</v>
      </c>
      <c r="I378" s="1">
        <f t="shared" ca="1" si="50"/>
        <v>-75.028150772619455</v>
      </c>
      <c r="K378" s="1">
        <f t="shared" ca="1" si="46"/>
        <v>-8.5417589819229537E-4</v>
      </c>
    </row>
    <row r="379" spans="5:11" x14ac:dyDescent="0.25">
      <c r="E379" s="1">
        <f t="shared" si="47"/>
        <v>738</v>
      </c>
      <c r="F379" s="1">
        <f t="shared" ref="F379:F394" ca="1" si="53">F378+G378*dt</f>
        <v>-73.688772424263348</v>
      </c>
      <c r="G379" s="1">
        <f t="shared" ca="1" si="49"/>
        <v>7.7748283737510998E-2</v>
      </c>
      <c r="H379" s="1">
        <f t="shared" ca="1" si="45"/>
        <v>-1.2537855719398788E-2</v>
      </c>
      <c r="I379" s="1">
        <f t="shared" ca="1" si="50"/>
        <v>-75.02905469544713</v>
      </c>
      <c r="K379" s="1">
        <f t="shared" ca="1" si="46"/>
        <v>-9.0392282767276738E-4</v>
      </c>
    </row>
    <row r="380" spans="5:11" x14ac:dyDescent="0.25">
      <c r="E380" s="1">
        <f t="shared" si="47"/>
        <v>740</v>
      </c>
      <c r="F380" s="1">
        <f t="shared" ca="1" si="53"/>
        <v>-73.533275856788322</v>
      </c>
      <c r="G380" s="1">
        <f t="shared" ca="1" si="49"/>
        <v>5.2672572298713423E-2</v>
      </c>
      <c r="H380" s="1">
        <f t="shared" ca="1" si="45"/>
        <v>-1.3023596255898657E-2</v>
      </c>
      <c r="I380" s="1">
        <f t="shared" ca="1" si="50"/>
        <v>-75.021990128364365</v>
      </c>
      <c r="K380" s="1">
        <f t="shared" ca="1" si="46"/>
        <v>7.0645670827715118E-3</v>
      </c>
    </row>
    <row r="381" spans="5:11" x14ac:dyDescent="0.25">
      <c r="E381" s="1">
        <f t="shared" si="47"/>
        <v>742</v>
      </c>
      <c r="F381" s="1">
        <f t="shared" ca="1" si="53"/>
        <v>-73.4279307121909</v>
      </c>
      <c r="G381" s="1">
        <f t="shared" ca="1" si="49"/>
        <v>2.662537978691611E-2</v>
      </c>
      <c r="H381" s="1">
        <f t="shared" ca="1" si="45"/>
        <v>-1.3109194669492044E-2</v>
      </c>
      <c r="I381" s="1">
        <f t="shared" ca="1" si="50"/>
        <v>-75.01711462131945</v>
      </c>
      <c r="K381" s="1">
        <f t="shared" ca="1" si="46"/>
        <v>4.8755070449214141E-3</v>
      </c>
    </row>
    <row r="382" spans="5:11" x14ac:dyDescent="0.25">
      <c r="E382" s="1">
        <f t="shared" si="47"/>
        <v>744</v>
      </c>
      <c r="F382" s="1">
        <f t="shared" ca="1" si="53"/>
        <v>-73.374679952617072</v>
      </c>
      <c r="G382" s="1">
        <f t="shared" ca="1" si="49"/>
        <v>4.0699044793202077E-4</v>
      </c>
      <c r="H382" s="1">
        <f t="shared" ca="1" si="45"/>
        <v>-1.2859933530167017E-2</v>
      </c>
      <c r="I382" s="1">
        <f t="shared" ca="1" si="50"/>
        <v>-75.021991002125077</v>
      </c>
      <c r="K382" s="1">
        <f t="shared" ca="1" si="46"/>
        <v>-4.8763808056295323E-3</v>
      </c>
    </row>
    <row r="383" spans="5:11" x14ac:dyDescent="0.25">
      <c r="E383" s="1">
        <f t="shared" si="47"/>
        <v>746</v>
      </c>
      <c r="F383" s="1">
        <f t="shared" ca="1" si="53"/>
        <v>-73.373865971721202</v>
      </c>
      <c r="G383" s="1">
        <f t="shared" ca="1" si="49"/>
        <v>-2.5312876612402013E-2</v>
      </c>
      <c r="H383" s="1">
        <f t="shared" ca="1" si="45"/>
        <v>-1.2241991085925811E-2</v>
      </c>
      <c r="I383" s="1">
        <f t="shared" ca="1" si="50"/>
        <v>-75.030324456226097</v>
      </c>
      <c r="K383" s="1">
        <f t="shared" ca="1" si="46"/>
        <v>-8.3334541010217453E-3</v>
      </c>
    </row>
    <row r="384" spans="5:11" x14ac:dyDescent="0.25">
      <c r="E384" s="1">
        <f t="shared" si="47"/>
        <v>748</v>
      </c>
      <c r="F384" s="1">
        <f t="shared" ca="1" si="53"/>
        <v>-73.424491724946009</v>
      </c>
      <c r="G384" s="1">
        <f t="shared" ca="1" si="49"/>
        <v>-4.9796858784253634E-2</v>
      </c>
      <c r="H384" s="1">
        <f t="shared" ca="1" si="45"/>
        <v>-1.1141104942036567E-2</v>
      </c>
      <c r="I384" s="1">
        <f t="shared" ca="1" si="50"/>
        <v>-75.023935411799158</v>
      </c>
      <c r="K384" s="1">
        <f t="shared" ca="1" si="46"/>
        <v>6.3890444269440174E-3</v>
      </c>
    </row>
    <row r="385" spans="5:11" x14ac:dyDescent="0.25">
      <c r="E385" s="1">
        <f t="shared" si="47"/>
        <v>750</v>
      </c>
      <c r="F385" s="1">
        <f t="shared" ca="1" si="53"/>
        <v>-73.524085442514519</v>
      </c>
      <c r="G385" s="1">
        <f t="shared" ca="1" si="49"/>
        <v>-7.2079068668326765E-2</v>
      </c>
      <c r="H385" s="1">
        <f t="shared" ca="1" si="45"/>
        <v>-9.7713455281339453E-3</v>
      </c>
      <c r="I385" s="1">
        <f t="shared" ca="1" si="50"/>
        <v>-75.024478335904917</v>
      </c>
      <c r="K385" s="1">
        <f t="shared" ca="1" si="46"/>
        <v>-5.4292410575890627E-4</v>
      </c>
    </row>
    <row r="386" spans="5:11" x14ac:dyDescent="0.25">
      <c r="E386" s="1">
        <f t="shared" si="47"/>
        <v>752</v>
      </c>
      <c r="F386" s="1">
        <f t="shared" ca="1" si="53"/>
        <v>-73.668243579851179</v>
      </c>
      <c r="G386" s="1">
        <f t="shared" ca="1" si="49"/>
        <v>-9.1621759724594659E-2</v>
      </c>
      <c r="H386" s="1">
        <f t="shared" ca="1" si="45"/>
        <v>-8.1117084095552478E-3</v>
      </c>
      <c r="I386" s="1">
        <f t="shared" ca="1" si="50"/>
        <v>-75.023009165770972</v>
      </c>
      <c r="K386" s="1">
        <f t="shared" ca="1" si="46"/>
        <v>1.4691701339476326E-3</v>
      </c>
    </row>
    <row r="387" spans="5:11" x14ac:dyDescent="0.25">
      <c r="E387" s="1">
        <f t="shared" si="47"/>
        <v>754</v>
      </c>
      <c r="F387" s="1">
        <f t="shared" ca="1" si="53"/>
        <v>-73.851487099300371</v>
      </c>
      <c r="G387" s="1">
        <f t="shared" ca="1" si="49"/>
        <v>-0.10784517654370515</v>
      </c>
      <c r="H387" s="1">
        <f t="shared" ca="1" si="45"/>
        <v>-6.2831264712886392E-3</v>
      </c>
      <c r="I387" s="1">
        <f t="shared" ca="1" si="50"/>
        <v>-75.027561099641389</v>
      </c>
      <c r="K387" s="1">
        <f t="shared" ca="1" si="46"/>
        <v>-4.5519338704170511E-3</v>
      </c>
    </row>
    <row r="388" spans="5:11" x14ac:dyDescent="0.25">
      <c r="E388" s="1">
        <f t="shared" si="47"/>
        <v>756</v>
      </c>
      <c r="F388" s="1">
        <f t="shared" ca="1" si="53"/>
        <v>-74.067177452387781</v>
      </c>
      <c r="G388" s="1">
        <f t="shared" ca="1" si="49"/>
        <v>-0.12041142948628243</v>
      </c>
      <c r="H388" s="1">
        <f t="shared" ca="1" si="45"/>
        <v>-4.3256527781510611E-3</v>
      </c>
      <c r="I388" s="1">
        <f t="shared" ca="1" si="50"/>
        <v>-75.03546964320617</v>
      </c>
      <c r="K388" s="1">
        <f t="shared" ca="1" si="46"/>
        <v>-7.9085435647842338E-3</v>
      </c>
    </row>
    <row r="389" spans="5:11" x14ac:dyDescent="0.25">
      <c r="E389" s="1">
        <f t="shared" si="47"/>
        <v>758</v>
      </c>
      <c r="F389" s="1">
        <f t="shared" ca="1" si="53"/>
        <v>-74.308000311360345</v>
      </c>
      <c r="G389" s="1">
        <f t="shared" ca="1" si="49"/>
        <v>-0.12906273504258456</v>
      </c>
      <c r="H389" s="1">
        <f t="shared" ca="1" si="45"/>
        <v>-2.1919826040465028E-3</v>
      </c>
      <c r="I389" s="1">
        <f t="shared" ca="1" si="50"/>
        <v>-75.032470042538264</v>
      </c>
      <c r="K389" s="1">
        <f t="shared" ca="1" si="46"/>
        <v>2.9996006679017342E-3</v>
      </c>
    </row>
    <row r="390" spans="5:11" x14ac:dyDescent="0.25">
      <c r="E390" s="1">
        <f t="shared" si="47"/>
        <v>760</v>
      </c>
      <c r="F390" s="1">
        <f t="shared" ca="1" si="53"/>
        <v>-74.566125781445521</v>
      </c>
      <c r="G390" s="1">
        <f t="shared" ca="1" si="49"/>
        <v>-0.13344670025067756</v>
      </c>
      <c r="H390" s="1">
        <f t="shared" ca="1" si="45"/>
        <v>-1.0734529509169111E-4</v>
      </c>
      <c r="I390" s="1">
        <f t="shared" ca="1" si="50"/>
        <v>-75.038397173985246</v>
      </c>
      <c r="K390" s="1">
        <f t="shared" ca="1" si="46"/>
        <v>-5.9271314469783619E-3</v>
      </c>
    </row>
    <row r="391" spans="5:11" x14ac:dyDescent="0.25">
      <c r="E391" s="1">
        <f t="shared" si="47"/>
        <v>762</v>
      </c>
      <c r="F391" s="1">
        <f t="shared" ca="1" si="53"/>
        <v>-74.833019181946881</v>
      </c>
      <c r="G391" s="1">
        <f t="shared" ca="1" si="49"/>
        <v>-0.13366139084086096</v>
      </c>
      <c r="H391" s="1">
        <f t="shared" ca="1" si="45"/>
        <v>1.9828512654237757E-3</v>
      </c>
      <c r="I391" s="1">
        <f t="shared" ca="1" si="50"/>
        <v>-75.038054311320124</v>
      </c>
      <c r="K391" s="1">
        <f t="shared" ca="1" si="46"/>
        <v>3.4286266511743827E-4</v>
      </c>
    </row>
    <row r="392" spans="5:11" x14ac:dyDescent="0.25">
      <c r="E392" s="1">
        <f t="shared" si="47"/>
        <v>764</v>
      </c>
      <c r="F392" s="1">
        <f t="shared" ca="1" si="53"/>
        <v>-75.100341963628608</v>
      </c>
      <c r="G392" s="1">
        <f t="shared" ca="1" si="49"/>
        <v>-0.12969568831001341</v>
      </c>
      <c r="H392" s="1">
        <f t="shared" ca="1" si="45"/>
        <v>3.9901749084993868E-3</v>
      </c>
      <c r="I392" s="1">
        <f t="shared" ca="1" si="50"/>
        <v>-75.034402160834887</v>
      </c>
      <c r="K392" s="1">
        <f t="shared" ca="1" si="46"/>
        <v>3.6521504852325103E-3</v>
      </c>
    </row>
    <row r="393" spans="5:11" x14ac:dyDescent="0.25">
      <c r="E393" s="1">
        <f t="shared" si="47"/>
        <v>766</v>
      </c>
      <c r="F393" s="1">
        <f t="shared" ca="1" si="53"/>
        <v>-75.359733340248638</v>
      </c>
      <c r="G393" s="1">
        <f t="shared" ca="1" si="49"/>
        <v>-0.12171533849301464</v>
      </c>
      <c r="H393" s="1">
        <f t="shared" ca="1" si="45"/>
        <v>5.7960418238045134E-3</v>
      </c>
      <c r="I393" s="1">
        <f t="shared" ca="1" si="50"/>
        <v>-75.034852474583033</v>
      </c>
      <c r="K393" s="1">
        <f t="shared" ca="1" si="46"/>
        <v>-4.5031374814056061E-4</v>
      </c>
    </row>
    <row r="394" spans="5:11" x14ac:dyDescent="0.25">
      <c r="E394" s="1">
        <f t="shared" si="47"/>
        <v>768</v>
      </c>
      <c r="F394" s="1">
        <f t="shared" ca="1" si="53"/>
        <v>-75.603164017234661</v>
      </c>
      <c r="G394" s="1">
        <f t="shared" ca="1" si="49"/>
        <v>-0.11012325484540561</v>
      </c>
      <c r="H394" s="1">
        <f t="shared" ref="H394:H457" ca="1" si="54">-k*(F394-I394)/m-(b+bb)*G394</f>
        <v>7.384451148902911E-3</v>
      </c>
      <c r="I394" s="1">
        <f t="shared" ca="1" si="50"/>
        <v>-75.034811719921066</v>
      </c>
      <c r="K394" s="1">
        <f t="shared" ref="K394:K457" ca="1" si="55">NoiseAmp*(0.5-RAND())</f>
        <v>4.0754661965534122E-5</v>
      </c>
    </row>
    <row r="395" spans="5:11" x14ac:dyDescent="0.25">
      <c r="E395" s="1">
        <f t="shared" ref="E395:E458" si="56">E394+dt</f>
        <v>770</v>
      </c>
      <c r="F395" s="1">
        <f t="shared" ref="F395:F410" ca="1" si="57">F394+G394*dt</f>
        <v>-75.823410526925471</v>
      </c>
      <c r="G395" s="1">
        <f t="shared" ref="G395:G458" ca="1" si="58">IF(ABS(F395)&gt;100,-1.2*G394,G394+H394*dt)</f>
        <v>-9.5354352547599788E-2</v>
      </c>
      <c r="H395" s="1">
        <f t="shared" ca="1" si="54"/>
        <v>8.706526065020195E-3</v>
      </c>
      <c r="I395" s="1">
        <f t="shared" ca="1" si="50"/>
        <v>-75.034817011958225</v>
      </c>
      <c r="K395" s="1">
        <f t="shared" ca="1" si="55"/>
        <v>-5.2920371588638379E-6</v>
      </c>
    </row>
    <row r="396" spans="5:11" x14ac:dyDescent="0.25">
      <c r="E396" s="1">
        <f t="shared" si="56"/>
        <v>772</v>
      </c>
      <c r="F396" s="1">
        <f t="shared" ca="1" si="57"/>
        <v>-76.014119232020676</v>
      </c>
      <c r="G396" s="1">
        <f t="shared" ca="1" si="58"/>
        <v>-7.7941300417559395E-2</v>
      </c>
      <c r="H396" s="1">
        <f t="shared" ca="1" si="54"/>
        <v>9.7614985844601126E-3</v>
      </c>
      <c r="I396" s="1">
        <f t="shared" ref="I396:I459" ca="1" si="59">I395+K396</f>
        <v>-75.030443368780993</v>
      </c>
      <c r="K396" s="1">
        <f t="shared" ca="1" si="55"/>
        <v>4.3736431772350157E-3</v>
      </c>
    </row>
    <row r="397" spans="5:11" x14ac:dyDescent="0.25">
      <c r="E397" s="1">
        <f t="shared" si="56"/>
        <v>774</v>
      </c>
      <c r="F397" s="1">
        <f t="shared" ca="1" si="57"/>
        <v>-76.170001832855789</v>
      </c>
      <c r="G397" s="1">
        <f t="shared" ca="1" si="58"/>
        <v>-5.841830324863917E-2</v>
      </c>
      <c r="H397" s="1">
        <f t="shared" ca="1" si="54"/>
        <v>1.051998026146328E-2</v>
      </c>
      <c r="I397" s="1">
        <f t="shared" ca="1" si="59"/>
        <v>-75.022005713060949</v>
      </c>
      <c r="K397" s="1">
        <f t="shared" ca="1" si="55"/>
        <v>8.4376557200423682E-3</v>
      </c>
    </row>
    <row r="398" spans="5:11" x14ac:dyDescent="0.25">
      <c r="E398" s="1">
        <f t="shared" si="56"/>
        <v>776</v>
      </c>
      <c r="F398" s="1">
        <f t="shared" ca="1" si="57"/>
        <v>-76.286838439353062</v>
      </c>
      <c r="G398" s="1">
        <f t="shared" ca="1" si="58"/>
        <v>-3.737834272571261E-2</v>
      </c>
      <c r="H398" s="1">
        <f t="shared" ca="1" si="54"/>
        <v>1.0806976920057909E-2</v>
      </c>
      <c r="I398" s="1">
        <f t="shared" ca="1" si="59"/>
        <v>-75.029756729736548</v>
      </c>
      <c r="K398" s="1">
        <f t="shared" ca="1" si="55"/>
        <v>-7.7510166755962165E-3</v>
      </c>
    </row>
    <row r="399" spans="5:11" x14ac:dyDescent="0.25">
      <c r="E399" s="1">
        <f t="shared" si="56"/>
        <v>778</v>
      </c>
      <c r="F399" s="1">
        <f t="shared" ca="1" si="57"/>
        <v>-76.361595124804481</v>
      </c>
      <c r="G399" s="1">
        <f t="shared" ca="1" si="58"/>
        <v>-1.5764388885596791E-2</v>
      </c>
      <c r="H399" s="1">
        <f t="shared" ca="1" si="54"/>
        <v>1.0884973363266015E-2</v>
      </c>
      <c r="I399" s="1">
        <f t="shared" ca="1" si="59"/>
        <v>-75.020250542608068</v>
      </c>
      <c r="K399" s="1">
        <f t="shared" ca="1" si="55"/>
        <v>9.5061871284749123E-3</v>
      </c>
    </row>
    <row r="400" spans="5:11" x14ac:dyDescent="0.25">
      <c r="E400" s="1">
        <f t="shared" si="56"/>
        <v>780</v>
      </c>
      <c r="F400" s="1">
        <f t="shared" ca="1" si="57"/>
        <v>-76.393123902575681</v>
      </c>
      <c r="G400" s="1">
        <f t="shared" ca="1" si="58"/>
        <v>6.0055578409352398E-3</v>
      </c>
      <c r="H400" s="1">
        <f t="shared" ca="1" si="54"/>
        <v>1.0587238423554458E-2</v>
      </c>
      <c r="I400" s="1">
        <f t="shared" ca="1" si="59"/>
        <v>-75.015151162358819</v>
      </c>
      <c r="K400" s="1">
        <f t="shared" ca="1" si="55"/>
        <v>5.0993802492493613E-3</v>
      </c>
    </row>
    <row r="401" spans="5:11" x14ac:dyDescent="0.25">
      <c r="E401" s="1">
        <f t="shared" si="56"/>
        <v>782</v>
      </c>
      <c r="F401" s="1">
        <f t="shared" ca="1" si="57"/>
        <v>-76.381112786893809</v>
      </c>
      <c r="G401" s="1">
        <f t="shared" ca="1" si="58"/>
        <v>2.7180034688044155E-2</v>
      </c>
      <c r="H401" s="1">
        <f t="shared" ca="1" si="54"/>
        <v>9.8673718417202922E-3</v>
      </c>
      <c r="I401" s="1">
        <f t="shared" ca="1" si="59"/>
        <v>-75.022677303386132</v>
      </c>
      <c r="K401" s="1">
        <f t="shared" ca="1" si="55"/>
        <v>-7.5261410273179587E-3</v>
      </c>
    </row>
    <row r="402" spans="5:11" x14ac:dyDescent="0.25">
      <c r="E402" s="1">
        <f t="shared" si="56"/>
        <v>784</v>
      </c>
      <c r="F402" s="1">
        <f t="shared" ca="1" si="57"/>
        <v>-76.326752717517721</v>
      </c>
      <c r="G402" s="1">
        <f t="shared" ca="1" si="58"/>
        <v>4.6914778371484736E-2</v>
      </c>
      <c r="H402" s="1">
        <f t="shared" ca="1" si="54"/>
        <v>8.8675078046349283E-3</v>
      </c>
      <c r="I402" s="1">
        <f t="shared" ca="1" si="59"/>
        <v>-75.028698375852244</v>
      </c>
      <c r="K402" s="1">
        <f t="shared" ca="1" si="55"/>
        <v>-6.0210724661059947E-3</v>
      </c>
    </row>
    <row r="403" spans="5:11" x14ac:dyDescent="0.25">
      <c r="E403" s="1">
        <f t="shared" si="56"/>
        <v>786</v>
      </c>
      <c r="F403" s="1">
        <f t="shared" ca="1" si="57"/>
        <v>-76.232923160774746</v>
      </c>
      <c r="G403" s="1">
        <f t="shared" ca="1" si="58"/>
        <v>6.46497939807546E-2</v>
      </c>
      <c r="H403" s="1">
        <f t="shared" ca="1" si="54"/>
        <v>7.6568917149202331E-3</v>
      </c>
      <c r="I403" s="1">
        <f t="shared" ca="1" si="59"/>
        <v>-75.029140315440841</v>
      </c>
      <c r="K403" s="1">
        <f t="shared" ca="1" si="55"/>
        <v>-4.4193958859173321E-4</v>
      </c>
    </row>
    <row r="404" spans="5:11" x14ac:dyDescent="0.25">
      <c r="E404" s="1">
        <f t="shared" si="56"/>
        <v>788</v>
      </c>
      <c r="F404" s="1">
        <f t="shared" ca="1" si="57"/>
        <v>-76.103623572813234</v>
      </c>
      <c r="G404" s="1">
        <f t="shared" ca="1" si="58"/>
        <v>7.9963577410595066E-2</v>
      </c>
      <c r="H404" s="1">
        <f t="shared" ca="1" si="54"/>
        <v>6.2878088846261924E-3</v>
      </c>
      <c r="I404" s="1">
        <f t="shared" ca="1" si="59"/>
        <v>-75.022747578040139</v>
      </c>
      <c r="K404" s="1">
        <f t="shared" ca="1" si="55"/>
        <v>6.3927374007057107E-3</v>
      </c>
    </row>
    <row r="405" spans="5:11" x14ac:dyDescent="0.25">
      <c r="E405" s="1">
        <f t="shared" si="56"/>
        <v>790</v>
      </c>
      <c r="F405" s="1">
        <f t="shared" ca="1" si="57"/>
        <v>-75.943696417992044</v>
      </c>
      <c r="G405" s="1">
        <f t="shared" ca="1" si="58"/>
        <v>9.2539195179847447E-2</v>
      </c>
      <c r="H405" s="1">
        <f t="shared" ca="1" si="54"/>
        <v>4.7538700382597117E-3</v>
      </c>
      <c r="I405" s="1">
        <f t="shared" ca="1" si="59"/>
        <v>-75.016270716827989</v>
      </c>
      <c r="K405" s="1">
        <f t="shared" ca="1" si="55"/>
        <v>6.4768612121533266E-3</v>
      </c>
    </row>
    <row r="406" spans="5:11" x14ac:dyDescent="0.25">
      <c r="E406" s="1">
        <f t="shared" si="56"/>
        <v>792</v>
      </c>
      <c r="F406" s="1">
        <f t="shared" ca="1" si="57"/>
        <v>-75.758618027632352</v>
      </c>
      <c r="G406" s="1">
        <f t="shared" ca="1" si="58"/>
        <v>0.10204693525636688</v>
      </c>
      <c r="H406" s="1">
        <f t="shared" ca="1" si="54"/>
        <v>3.0864452582635734E-3</v>
      </c>
      <c r="I406" s="1">
        <f t="shared" ca="1" si="59"/>
        <v>-75.012297114410018</v>
      </c>
      <c r="K406" s="1">
        <f t="shared" ca="1" si="55"/>
        <v>3.9736024179784077E-3</v>
      </c>
    </row>
    <row r="407" spans="5:11" x14ac:dyDescent="0.25">
      <c r="E407" s="1">
        <f t="shared" si="56"/>
        <v>794</v>
      </c>
      <c r="F407" s="1">
        <f t="shared" ca="1" si="57"/>
        <v>-75.554524157119616</v>
      </c>
      <c r="G407" s="1">
        <f t="shared" ca="1" si="58"/>
        <v>0.10821982577289402</v>
      </c>
      <c r="H407" s="1">
        <f t="shared" ca="1" si="54"/>
        <v>1.390958957722844E-3</v>
      </c>
      <c r="I407" s="1">
        <f t="shared" ca="1" si="59"/>
        <v>-75.004363863730333</v>
      </c>
      <c r="K407" s="1">
        <f t="shared" ca="1" si="55"/>
        <v>7.9332506796873873E-3</v>
      </c>
    </row>
    <row r="408" spans="5:11" x14ac:dyDescent="0.25">
      <c r="E408" s="1">
        <f t="shared" si="56"/>
        <v>796</v>
      </c>
      <c r="F408" s="1">
        <f t="shared" ca="1" si="57"/>
        <v>-75.338084505573832</v>
      </c>
      <c r="G408" s="1">
        <f t="shared" ca="1" si="58"/>
        <v>0.1110017436883397</v>
      </c>
      <c r="H408" s="1">
        <f t="shared" ca="1" si="54"/>
        <v>-3.2326107852543792E-4</v>
      </c>
      <c r="I408" s="1">
        <f t="shared" ca="1" si="59"/>
        <v>-74.998137627071003</v>
      </c>
      <c r="K408" s="1">
        <f t="shared" ca="1" si="55"/>
        <v>6.2262366593351919E-3</v>
      </c>
    </row>
    <row r="409" spans="5:11" x14ac:dyDescent="0.25">
      <c r="E409" s="1">
        <f t="shared" si="56"/>
        <v>798</v>
      </c>
      <c r="F409" s="1">
        <f t="shared" ca="1" si="57"/>
        <v>-75.11608101819715</v>
      </c>
      <c r="G409" s="1">
        <f t="shared" ca="1" si="58"/>
        <v>0.11035522153128882</v>
      </c>
      <c r="H409" s="1">
        <f t="shared" ca="1" si="54"/>
        <v>-2.083104503395643E-3</v>
      </c>
      <c r="I409" s="1">
        <f t="shared" ca="1" si="59"/>
        <v>-75.003976475422419</v>
      </c>
      <c r="K409" s="1">
        <f t="shared" ca="1" si="55"/>
        <v>-5.8388483514099131E-3</v>
      </c>
    </row>
    <row r="410" spans="5:11" x14ac:dyDescent="0.25">
      <c r="E410" s="1">
        <f t="shared" si="56"/>
        <v>800</v>
      </c>
      <c r="F410" s="1">
        <f t="shared" ca="1" si="57"/>
        <v>-74.895370575134578</v>
      </c>
      <c r="G410" s="1">
        <f t="shared" ca="1" si="58"/>
        <v>0.10618901252449754</v>
      </c>
      <c r="H410" s="1">
        <f t="shared" ca="1" si="54"/>
        <v>-3.692654047448576E-3</v>
      </c>
      <c r="I410" s="1">
        <f t="shared" ca="1" si="59"/>
        <v>-75.003933204851506</v>
      </c>
      <c r="K410" s="1">
        <f t="shared" ca="1" si="55"/>
        <v>4.3270570911912998E-5</v>
      </c>
    </row>
    <row r="411" spans="5:11" x14ac:dyDescent="0.25">
      <c r="E411" s="1">
        <f t="shared" si="56"/>
        <v>802</v>
      </c>
      <c r="F411" s="1">
        <f t="shared" ref="F411:F426" ca="1" si="60">F410+G410*dt</f>
        <v>-74.682992550085586</v>
      </c>
      <c r="G411" s="1">
        <f t="shared" ca="1" si="58"/>
        <v>9.8803704429600389E-2</v>
      </c>
      <c r="H411" s="1">
        <f t="shared" ca="1" si="54"/>
        <v>-5.1262043539355862E-3</v>
      </c>
      <c r="I411" s="1">
        <f t="shared" ca="1" si="59"/>
        <v>-75.000718841780753</v>
      </c>
      <c r="K411" s="1">
        <f t="shared" ca="1" si="55"/>
        <v>3.2143630707577421E-3</v>
      </c>
    </row>
    <row r="412" spans="5:11" x14ac:dyDescent="0.25">
      <c r="E412" s="1">
        <f t="shared" si="56"/>
        <v>804</v>
      </c>
      <c r="F412" s="1">
        <f t="shared" ca="1" si="60"/>
        <v>-74.485385141226388</v>
      </c>
      <c r="G412" s="1">
        <f t="shared" ca="1" si="58"/>
        <v>8.855129572172922E-2</v>
      </c>
      <c r="H412" s="1">
        <f t="shared" ca="1" si="54"/>
        <v>-6.4245708830549366E-3</v>
      </c>
      <c r="I412" s="1">
        <f t="shared" ca="1" si="59"/>
        <v>-75.004794905035695</v>
      </c>
      <c r="K412" s="1">
        <f t="shared" ca="1" si="55"/>
        <v>-4.0760632549444245E-3</v>
      </c>
    </row>
    <row r="413" spans="5:11" x14ac:dyDescent="0.25">
      <c r="E413" s="1">
        <f t="shared" si="56"/>
        <v>806</v>
      </c>
      <c r="F413" s="1">
        <f t="shared" ca="1" si="60"/>
        <v>-74.30828254978293</v>
      </c>
      <c r="G413" s="1">
        <f t="shared" ca="1" si="58"/>
        <v>7.5702153955619342E-2</v>
      </c>
      <c r="H413" s="1">
        <f t="shared" ca="1" si="54"/>
        <v>-7.423906381900579E-3</v>
      </c>
      <c r="I413" s="1">
        <f t="shared" ca="1" si="59"/>
        <v>-74.999960582589338</v>
      </c>
      <c r="K413" s="1">
        <f t="shared" ca="1" si="55"/>
        <v>4.834322446353994E-3</v>
      </c>
    </row>
    <row r="414" spans="5:11" x14ac:dyDescent="0.25">
      <c r="E414" s="1">
        <f t="shared" si="56"/>
        <v>808</v>
      </c>
      <c r="F414" s="1">
        <f t="shared" ca="1" si="60"/>
        <v>-74.156878241871695</v>
      </c>
      <c r="G414" s="1">
        <f t="shared" ca="1" si="58"/>
        <v>6.0854341191818186E-2</v>
      </c>
      <c r="H414" s="1">
        <f t="shared" ca="1" si="54"/>
        <v>-8.2292021528115461E-3</v>
      </c>
      <c r="I414" s="1">
        <f t="shared" ca="1" si="59"/>
        <v>-75.00281488403462</v>
      </c>
      <c r="K414" s="1">
        <f t="shared" ca="1" si="55"/>
        <v>-2.8543014452876549E-3</v>
      </c>
    </row>
    <row r="415" spans="5:11" x14ac:dyDescent="0.25">
      <c r="E415" s="1">
        <f t="shared" si="56"/>
        <v>810</v>
      </c>
      <c r="F415" s="1">
        <f t="shared" ca="1" si="60"/>
        <v>-74.035169559488054</v>
      </c>
      <c r="G415" s="1">
        <f t="shared" ca="1" si="58"/>
        <v>4.4395936886195093E-2</v>
      </c>
      <c r="H415" s="1">
        <f t="shared" ca="1" si="54"/>
        <v>-8.7242747222350311E-3</v>
      </c>
      <c r="I415" s="1">
        <f t="shared" ca="1" si="59"/>
        <v>-75.001126433037413</v>
      </c>
      <c r="K415" s="1">
        <f t="shared" ca="1" si="55"/>
        <v>1.6884509972106155E-3</v>
      </c>
    </row>
    <row r="416" spans="5:11" x14ac:dyDescent="0.25">
      <c r="E416" s="1">
        <f t="shared" si="56"/>
        <v>812</v>
      </c>
      <c r="F416" s="1">
        <f t="shared" ca="1" si="60"/>
        <v>-73.94637768571566</v>
      </c>
      <c r="G416" s="1">
        <f t="shared" ca="1" si="58"/>
        <v>2.6947387441725031E-2</v>
      </c>
      <c r="H416" s="1">
        <f t="shared" ca="1" si="54"/>
        <v>-8.9250486717430515E-3</v>
      </c>
      <c r="I416" s="1">
        <f t="shared" ca="1" si="59"/>
        <v>-74.99802623549833</v>
      </c>
      <c r="K416" s="1">
        <f t="shared" ca="1" si="55"/>
        <v>3.1001975390814798E-3</v>
      </c>
    </row>
    <row r="417" spans="5:11" x14ac:dyDescent="0.25">
      <c r="E417" s="1">
        <f t="shared" si="56"/>
        <v>814</v>
      </c>
      <c r="F417" s="1">
        <f t="shared" ca="1" si="60"/>
        <v>-73.892482910832214</v>
      </c>
      <c r="G417" s="1">
        <f t="shared" ca="1" si="58"/>
        <v>9.0972900982389283E-3</v>
      </c>
      <c r="H417" s="1">
        <f t="shared" ca="1" si="54"/>
        <v>-8.8069918312355198E-3</v>
      </c>
      <c r="I417" s="1">
        <f t="shared" ca="1" si="59"/>
        <v>-74.990327071935127</v>
      </c>
      <c r="K417" s="1">
        <f t="shared" ca="1" si="55"/>
        <v>7.6991635631992027E-3</v>
      </c>
    </row>
    <row r="418" spans="5:11" x14ac:dyDescent="0.25">
      <c r="E418" s="1">
        <f t="shared" si="56"/>
        <v>816</v>
      </c>
      <c r="F418" s="1">
        <f t="shared" ca="1" si="60"/>
        <v>-73.874288330635736</v>
      </c>
      <c r="G418" s="1">
        <f t="shared" ca="1" si="58"/>
        <v>-8.5166935642321112E-3</v>
      </c>
      <c r="H418" s="1">
        <f t="shared" ca="1" si="54"/>
        <v>-8.511288008151879E-3</v>
      </c>
      <c r="I418" s="1">
        <f t="shared" ca="1" si="59"/>
        <v>-74.994741586491287</v>
      </c>
      <c r="K418" s="1">
        <f t="shared" ca="1" si="55"/>
        <v>-4.4145145561565241E-3</v>
      </c>
    </row>
    <row r="419" spans="5:11" x14ac:dyDescent="0.25">
      <c r="E419" s="1">
        <f t="shared" si="56"/>
        <v>818</v>
      </c>
      <c r="F419" s="1">
        <f t="shared" ca="1" si="60"/>
        <v>-73.8913217177642</v>
      </c>
      <c r="G419" s="1">
        <f t="shared" ca="1" si="58"/>
        <v>-2.5539269580535869E-2</v>
      </c>
      <c r="H419" s="1">
        <f t="shared" ca="1" si="54"/>
        <v>-7.8737808625143953E-3</v>
      </c>
      <c r="I419" s="1">
        <f t="shared" ca="1" si="59"/>
        <v>-74.988531113568399</v>
      </c>
      <c r="K419" s="1">
        <f t="shared" ca="1" si="55"/>
        <v>6.2104729228815853E-3</v>
      </c>
    </row>
    <row r="420" spans="5:11" x14ac:dyDescent="0.25">
      <c r="E420" s="1">
        <f t="shared" si="56"/>
        <v>820</v>
      </c>
      <c r="F420" s="1">
        <f t="shared" ca="1" si="60"/>
        <v>-73.942400256925268</v>
      </c>
      <c r="G420" s="1">
        <f t="shared" ca="1" si="58"/>
        <v>-4.128683130556466E-2</v>
      </c>
      <c r="H420" s="1">
        <f t="shared" ca="1" si="54"/>
        <v>-6.9868608778959219E-3</v>
      </c>
      <c r="I420" s="1">
        <f t="shared" ca="1" si="59"/>
        <v>-74.980008969346429</v>
      </c>
      <c r="K420" s="1">
        <f t="shared" ca="1" si="55"/>
        <v>8.5221442219763199E-3</v>
      </c>
    </row>
    <row r="421" spans="5:11" x14ac:dyDescent="0.25">
      <c r="E421" s="1">
        <f t="shared" si="56"/>
        <v>822</v>
      </c>
      <c r="F421" s="1">
        <f t="shared" ca="1" si="60"/>
        <v>-74.024973919536393</v>
      </c>
      <c r="G421" s="1">
        <f t="shared" ca="1" si="58"/>
        <v>-5.5260553061356507E-2</v>
      </c>
      <c r="H421" s="1">
        <f t="shared" ca="1" si="54"/>
        <v>-5.977982817997024E-3</v>
      </c>
      <c r="I421" s="1">
        <f t="shared" ca="1" si="59"/>
        <v>-74.981251565695544</v>
      </c>
      <c r="K421" s="1">
        <f t="shared" ca="1" si="55"/>
        <v>-1.242596349117835E-3</v>
      </c>
    </row>
    <row r="422" spans="5:11" x14ac:dyDescent="0.25">
      <c r="E422" s="1">
        <f t="shared" si="56"/>
        <v>824</v>
      </c>
      <c r="F422" s="1">
        <f t="shared" ca="1" si="60"/>
        <v>-74.135495025659111</v>
      </c>
      <c r="G422" s="1">
        <f t="shared" ca="1" si="58"/>
        <v>-6.7216518697350555E-2</v>
      </c>
      <c r="H422" s="1">
        <f t="shared" ca="1" si="54"/>
        <v>-4.7684054031658799E-3</v>
      </c>
      <c r="I422" s="1">
        <f t="shared" ca="1" si="59"/>
        <v>-74.977778115948198</v>
      </c>
      <c r="K422" s="1">
        <f t="shared" ca="1" si="55"/>
        <v>3.4734497473403935E-3</v>
      </c>
    </row>
    <row r="423" spans="5:11" x14ac:dyDescent="0.25">
      <c r="E423" s="1">
        <f t="shared" si="56"/>
        <v>826</v>
      </c>
      <c r="F423" s="1">
        <f t="shared" ca="1" si="60"/>
        <v>-74.269928063053811</v>
      </c>
      <c r="G423" s="1">
        <f t="shared" ca="1" si="58"/>
        <v>-7.6753329503682313E-2</v>
      </c>
      <c r="H423" s="1">
        <f t="shared" ca="1" si="54"/>
        <v>-3.4006127885300805E-3</v>
      </c>
      <c r="I423" s="1">
        <f t="shared" ca="1" si="59"/>
        <v>-74.969620629621602</v>
      </c>
      <c r="K423" s="1">
        <f t="shared" ca="1" si="55"/>
        <v>8.1574863266002627E-3</v>
      </c>
    </row>
    <row r="424" spans="5:11" x14ac:dyDescent="0.25">
      <c r="E424" s="1">
        <f t="shared" si="56"/>
        <v>828</v>
      </c>
      <c r="F424" s="1">
        <f t="shared" ca="1" si="60"/>
        <v>-74.423434722061174</v>
      </c>
      <c r="G424" s="1">
        <f t="shared" ca="1" si="58"/>
        <v>-8.3554555080742471E-2</v>
      </c>
      <c r="H424" s="1">
        <f t="shared" ca="1" si="54"/>
        <v>-2.0658985921064936E-3</v>
      </c>
      <c r="I424" s="1">
        <f t="shared" ca="1" si="59"/>
        <v>-74.975378397480455</v>
      </c>
      <c r="K424" s="1">
        <f t="shared" ca="1" si="55"/>
        <v>-5.7577678588521209E-3</v>
      </c>
    </row>
    <row r="425" spans="5:11" x14ac:dyDescent="0.25">
      <c r="E425" s="1">
        <f t="shared" si="56"/>
        <v>830</v>
      </c>
      <c r="F425" s="1">
        <f t="shared" ca="1" si="60"/>
        <v>-74.590543832222664</v>
      </c>
      <c r="G425" s="1">
        <f t="shared" ca="1" si="58"/>
        <v>-8.7686352264955456E-2</v>
      </c>
      <c r="H425" s="1">
        <f t="shared" ca="1" si="54"/>
        <v>-6.9424021289871954E-4</v>
      </c>
      <c r="I425" s="1">
        <f t="shared" ca="1" si="59"/>
        <v>-74.98083030063286</v>
      </c>
      <c r="K425" s="1">
        <f t="shared" ca="1" si="55"/>
        <v>-5.4519031524011543E-3</v>
      </c>
    </row>
    <row r="426" spans="5:11" x14ac:dyDescent="0.25">
      <c r="E426" s="1">
        <f t="shared" si="56"/>
        <v>832</v>
      </c>
      <c r="F426" s="1">
        <f t="shared" ca="1" si="60"/>
        <v>-74.76591653675257</v>
      </c>
      <c r="G426" s="1">
        <f t="shared" ca="1" si="58"/>
        <v>-8.9074832690752892E-2</v>
      </c>
      <c r="H426" s="1">
        <f t="shared" ca="1" si="54"/>
        <v>7.1708708055424203E-4</v>
      </c>
      <c r="I426" s="1">
        <f t="shared" ca="1" si="59"/>
        <v>-74.980034284901024</v>
      </c>
      <c r="K426" s="1">
        <f t="shared" ca="1" si="55"/>
        <v>7.9601573183833544E-4</v>
      </c>
    </row>
    <row r="427" spans="5:11" x14ac:dyDescent="0.25">
      <c r="E427" s="1">
        <f t="shared" si="56"/>
        <v>834</v>
      </c>
      <c r="F427" s="1">
        <f t="shared" ref="F427:F442" ca="1" si="61">F426+G426*dt</f>
        <v>-74.944066202134081</v>
      </c>
      <c r="G427" s="1">
        <f t="shared" ca="1" si="58"/>
        <v>-8.7640658529644408E-2</v>
      </c>
      <c r="H427" s="1">
        <f t="shared" ca="1" si="54"/>
        <v>2.0889776622368323E-3</v>
      </c>
      <c r="I427" s="1">
        <f t="shared" ca="1" si="59"/>
        <v>-74.977372867051727</v>
      </c>
      <c r="K427" s="1">
        <f t="shared" ca="1" si="55"/>
        <v>2.6614178492914988E-3</v>
      </c>
    </row>
    <row r="428" spans="5:11" x14ac:dyDescent="0.25">
      <c r="E428" s="1">
        <f t="shared" si="56"/>
        <v>836</v>
      </c>
      <c r="F428" s="1">
        <f t="shared" ca="1" si="61"/>
        <v>-75.119347519193369</v>
      </c>
      <c r="G428" s="1">
        <f t="shared" ca="1" si="58"/>
        <v>-8.3462703205170741E-2</v>
      </c>
      <c r="H428" s="1">
        <f t="shared" ca="1" si="54"/>
        <v>3.2816201716202335E-3</v>
      </c>
      <c r="I428" s="1">
        <f t="shared" ca="1" si="59"/>
        <v>-74.985396272305977</v>
      </c>
      <c r="K428" s="1">
        <f t="shared" ca="1" si="55"/>
        <v>-8.0234052542480123E-3</v>
      </c>
    </row>
    <row r="429" spans="5:11" x14ac:dyDescent="0.25">
      <c r="E429" s="1">
        <f t="shared" si="56"/>
        <v>838</v>
      </c>
      <c r="F429" s="1">
        <f t="shared" ca="1" si="61"/>
        <v>-75.286272925603711</v>
      </c>
      <c r="G429" s="1">
        <f t="shared" ca="1" si="58"/>
        <v>-7.6899462861930279E-2</v>
      </c>
      <c r="H429" s="1">
        <f t="shared" ca="1" si="54"/>
        <v>4.3820830294215452E-3</v>
      </c>
      <c r="I429" s="1">
        <f t="shared" ca="1" si="59"/>
        <v>-74.988686076280402</v>
      </c>
      <c r="K429" s="1">
        <f t="shared" ca="1" si="55"/>
        <v>-3.2898039744285335E-3</v>
      </c>
    </row>
    <row r="430" spans="5:11" x14ac:dyDescent="0.25">
      <c r="E430" s="1">
        <f t="shared" si="56"/>
        <v>840</v>
      </c>
      <c r="F430" s="1">
        <f t="shared" ca="1" si="61"/>
        <v>-75.440071851327573</v>
      </c>
      <c r="G430" s="1">
        <f t="shared" ca="1" si="58"/>
        <v>-6.8135296803087192E-2</v>
      </c>
      <c r="H430" s="1">
        <f t="shared" ca="1" si="54"/>
        <v>5.348768292055937E-3</v>
      </c>
      <c r="I430" s="1">
        <f t="shared" ca="1" si="59"/>
        <v>-74.988438218284855</v>
      </c>
      <c r="K430" s="1">
        <f t="shared" ca="1" si="55"/>
        <v>2.4785799554722266E-4</v>
      </c>
    </row>
    <row r="431" spans="5:11" x14ac:dyDescent="0.25">
      <c r="E431" s="1">
        <f t="shared" si="56"/>
        <v>842</v>
      </c>
      <c r="F431" s="1">
        <f t="shared" ca="1" si="61"/>
        <v>-75.576342444933744</v>
      </c>
      <c r="G431" s="1">
        <f t="shared" ca="1" si="58"/>
        <v>-5.7437760218975314E-2</v>
      </c>
      <c r="H431" s="1">
        <f t="shared" ca="1" si="54"/>
        <v>6.0769667045414925E-3</v>
      </c>
      <c r="I431" s="1">
        <f t="shared" ca="1" si="59"/>
        <v>-74.994594402539775</v>
      </c>
      <c r="K431" s="1">
        <f t="shared" ca="1" si="55"/>
        <v>-6.1561842549157798E-3</v>
      </c>
    </row>
    <row r="432" spans="5:11" x14ac:dyDescent="0.25">
      <c r="E432" s="1">
        <f t="shared" si="56"/>
        <v>844</v>
      </c>
      <c r="F432" s="1">
        <f t="shared" ca="1" si="61"/>
        <v>-75.691217965371692</v>
      </c>
      <c r="G432" s="1">
        <f t="shared" ca="1" si="58"/>
        <v>-4.5283826809892333E-2</v>
      </c>
      <c r="H432" s="1">
        <f t="shared" ca="1" si="54"/>
        <v>6.5895792220520772E-3</v>
      </c>
      <c r="I432" s="1">
        <f t="shared" ca="1" si="59"/>
        <v>-75.001990700814389</v>
      </c>
      <c r="K432" s="1">
        <f t="shared" ca="1" si="55"/>
        <v>-7.3962982746157823E-3</v>
      </c>
    </row>
    <row r="433" spans="5:11" x14ac:dyDescent="0.25">
      <c r="E433" s="1">
        <f t="shared" si="56"/>
        <v>846</v>
      </c>
      <c r="F433" s="1">
        <f t="shared" ca="1" si="61"/>
        <v>-75.781785618991478</v>
      </c>
      <c r="G433" s="1">
        <f t="shared" ca="1" si="58"/>
        <v>-3.210466836578818E-2</v>
      </c>
      <c r="H433" s="1">
        <f t="shared" ca="1" si="54"/>
        <v>6.9523796389473124E-3</v>
      </c>
      <c r="I433" s="1">
        <f t="shared" ca="1" si="59"/>
        <v>-75.000763243767864</v>
      </c>
      <c r="K433" s="1">
        <f t="shared" ca="1" si="55"/>
        <v>1.2274570465194733E-3</v>
      </c>
    </row>
    <row r="434" spans="5:11" x14ac:dyDescent="0.25">
      <c r="E434" s="1">
        <f t="shared" si="56"/>
        <v>848</v>
      </c>
      <c r="F434" s="1">
        <f t="shared" ca="1" si="61"/>
        <v>-75.845994955723057</v>
      </c>
      <c r="G434" s="1">
        <f t="shared" ca="1" si="58"/>
        <v>-1.8199909087893554E-2</v>
      </c>
      <c r="H434" s="1">
        <f t="shared" ca="1" si="54"/>
        <v>7.1509019080985402E-3</v>
      </c>
      <c r="I434" s="1">
        <f t="shared" ca="1" si="59"/>
        <v>-74.991745680781648</v>
      </c>
      <c r="K434" s="1">
        <f t="shared" ca="1" si="55"/>
        <v>9.0175629862210352E-3</v>
      </c>
    </row>
    <row r="435" spans="5:11" x14ac:dyDescent="0.25">
      <c r="E435" s="1">
        <f t="shared" si="56"/>
        <v>850</v>
      </c>
      <c r="F435" s="1">
        <f t="shared" ca="1" si="61"/>
        <v>-75.882394773898838</v>
      </c>
      <c r="G435" s="1">
        <f t="shared" ca="1" si="58"/>
        <v>-3.8981052716964733E-3</v>
      </c>
      <c r="H435" s="1">
        <f t="shared" ca="1" si="54"/>
        <v>7.0252758699051246E-3</v>
      </c>
      <c r="I435" s="1">
        <f t="shared" ca="1" si="59"/>
        <v>-74.995111870229138</v>
      </c>
      <c r="K435" s="1">
        <f t="shared" ca="1" si="55"/>
        <v>-3.3661894474887235E-3</v>
      </c>
    </row>
    <row r="436" spans="5:11" x14ac:dyDescent="0.25">
      <c r="E436" s="1">
        <f t="shared" si="56"/>
        <v>852</v>
      </c>
      <c r="F436" s="1">
        <f t="shared" ca="1" si="61"/>
        <v>-75.890190984442228</v>
      </c>
      <c r="G436" s="1">
        <f t="shared" ca="1" si="58"/>
        <v>1.0152446468113776E-2</v>
      </c>
      <c r="H436" s="1">
        <f t="shared" ca="1" si="54"/>
        <v>6.6554378183718028E-3</v>
      </c>
      <c r="I436" s="1">
        <f t="shared" ca="1" si="59"/>
        <v>-75.002046960888734</v>
      </c>
      <c r="K436" s="1">
        <f t="shared" ca="1" si="55"/>
        <v>-6.9350906595943033E-3</v>
      </c>
    </row>
    <row r="437" spans="5:11" x14ac:dyDescent="0.25">
      <c r="E437" s="1">
        <f t="shared" si="56"/>
        <v>854</v>
      </c>
      <c r="F437" s="1">
        <f t="shared" ca="1" si="61"/>
        <v>-75.869886091506004</v>
      </c>
      <c r="G437" s="1">
        <f t="shared" ca="1" si="58"/>
        <v>2.3463322104857381E-2</v>
      </c>
      <c r="H437" s="1">
        <f t="shared" ca="1" si="54"/>
        <v>6.1927472286637782E-3</v>
      </c>
      <c r="I437" s="1">
        <f t="shared" ca="1" si="59"/>
        <v>-74.995326570855497</v>
      </c>
      <c r="K437" s="1">
        <f t="shared" ca="1" si="55"/>
        <v>6.7203900332374958E-3</v>
      </c>
    </row>
    <row r="438" spans="5:11" x14ac:dyDescent="0.25">
      <c r="E438" s="1">
        <f t="shared" si="56"/>
        <v>856</v>
      </c>
      <c r="F438" s="1">
        <f t="shared" ca="1" si="61"/>
        <v>-75.822959447296284</v>
      </c>
      <c r="G438" s="1">
        <f t="shared" ca="1" si="58"/>
        <v>3.5848816562184936E-2</v>
      </c>
      <c r="H438" s="1">
        <f t="shared" ca="1" si="54"/>
        <v>5.4522381186185038E-3</v>
      </c>
      <c r="I438" s="1">
        <f t="shared" ca="1" si="59"/>
        <v>-75.000781703387943</v>
      </c>
      <c r="K438" s="1">
        <f t="shared" ca="1" si="55"/>
        <v>-5.4551325324495824E-3</v>
      </c>
    </row>
    <row r="439" spans="5:11" x14ac:dyDescent="0.25">
      <c r="E439" s="1">
        <f t="shared" si="56"/>
        <v>858</v>
      </c>
      <c r="F439" s="1">
        <f t="shared" ca="1" si="61"/>
        <v>-75.751261814171912</v>
      </c>
      <c r="G439" s="1">
        <f t="shared" ca="1" si="58"/>
        <v>4.6753292799421947E-2</v>
      </c>
      <c r="H439" s="1">
        <f t="shared" ca="1" si="54"/>
        <v>4.5460585998320178E-3</v>
      </c>
      <c r="I439" s="1">
        <f t="shared" ca="1" si="59"/>
        <v>-75.007794269703126</v>
      </c>
      <c r="K439" s="1">
        <f t="shared" ca="1" si="55"/>
        <v>-7.012566315189781E-3</v>
      </c>
    </row>
    <row r="440" spans="5:11" x14ac:dyDescent="0.25">
      <c r="E440" s="1">
        <f t="shared" si="56"/>
        <v>860</v>
      </c>
      <c r="F440" s="1">
        <f t="shared" ca="1" si="61"/>
        <v>-75.657755228573066</v>
      </c>
      <c r="G440" s="1">
        <f t="shared" ca="1" si="58"/>
        <v>5.5845409999085979E-2</v>
      </c>
      <c r="H440" s="1">
        <f t="shared" ca="1" si="54"/>
        <v>3.5602968012447686E-3</v>
      </c>
      <c r="I440" s="1">
        <f t="shared" ca="1" si="59"/>
        <v>-75.009427819698672</v>
      </c>
      <c r="K440" s="1">
        <f t="shared" ca="1" si="55"/>
        <v>-1.6335499955417944E-3</v>
      </c>
    </row>
    <row r="441" spans="5:11" x14ac:dyDescent="0.25">
      <c r="E441" s="1">
        <f t="shared" si="56"/>
        <v>862</v>
      </c>
      <c r="F441" s="1">
        <f t="shared" ca="1" si="61"/>
        <v>-75.546064408574892</v>
      </c>
      <c r="G441" s="1">
        <f t="shared" ca="1" si="58"/>
        <v>6.2966003601575518E-2</v>
      </c>
      <c r="H441" s="1">
        <f t="shared" ca="1" si="54"/>
        <v>2.453307658400853E-3</v>
      </c>
      <c r="I441" s="1">
        <f t="shared" ca="1" si="59"/>
        <v>-75.015193055379626</v>
      </c>
      <c r="K441" s="1">
        <f t="shared" ca="1" si="55"/>
        <v>-5.7652356809610918E-3</v>
      </c>
    </row>
    <row r="442" spans="5:11" x14ac:dyDescent="0.25">
      <c r="E442" s="1">
        <f t="shared" si="56"/>
        <v>864</v>
      </c>
      <c r="F442" s="1">
        <f t="shared" ca="1" si="61"/>
        <v>-75.420132401371745</v>
      </c>
      <c r="G442" s="1">
        <f t="shared" ca="1" si="58"/>
        <v>6.7872618918377231E-2</v>
      </c>
      <c r="H442" s="1">
        <f t="shared" ca="1" si="54"/>
        <v>1.3409520716791035E-3</v>
      </c>
      <c r="I442" s="1">
        <f t="shared" ca="1" si="59"/>
        <v>-75.015012111795897</v>
      </c>
      <c r="K442" s="1">
        <f t="shared" ca="1" si="55"/>
        <v>1.8094358372860997E-4</v>
      </c>
    </row>
    <row r="443" spans="5:11" x14ac:dyDescent="0.25">
      <c r="E443" s="1">
        <f t="shared" si="56"/>
        <v>866</v>
      </c>
      <c r="F443" s="1">
        <f t="shared" ref="F443:F458" ca="1" si="62">F442+G442*dt</f>
        <v>-75.284387163534987</v>
      </c>
      <c r="G443" s="1">
        <f t="shared" ca="1" si="58"/>
        <v>7.0554523061735444E-2</v>
      </c>
      <c r="H443" s="1">
        <f t="shared" ca="1" si="54"/>
        <v>2.1962429989507998E-4</v>
      </c>
      <c r="I443" s="1">
        <f t="shared" ca="1" si="59"/>
        <v>-75.013812097131193</v>
      </c>
      <c r="K443" s="1">
        <f t="shared" ca="1" si="55"/>
        <v>1.2000146647054978E-3</v>
      </c>
    </row>
    <row r="444" spans="5:11" x14ac:dyDescent="0.25">
      <c r="E444" s="1">
        <f t="shared" si="56"/>
        <v>868</v>
      </c>
      <c r="F444" s="1">
        <f t="shared" ca="1" si="62"/>
        <v>-75.143278117411512</v>
      </c>
      <c r="G444" s="1">
        <f t="shared" ca="1" si="58"/>
        <v>7.0993771661525609E-2</v>
      </c>
      <c r="H444" s="1">
        <f t="shared" ca="1" si="54"/>
        <v>-8.308254771006772E-4</v>
      </c>
      <c r="I444" s="1">
        <f t="shared" ca="1" si="59"/>
        <v>-75.005866886202767</v>
      </c>
      <c r="K444" s="1">
        <f t="shared" ca="1" si="55"/>
        <v>7.9452109284209472E-3</v>
      </c>
    </row>
    <row r="445" spans="5:11" x14ac:dyDescent="0.25">
      <c r="E445" s="1">
        <f t="shared" si="56"/>
        <v>870</v>
      </c>
      <c r="F445" s="1">
        <f t="shared" ca="1" si="62"/>
        <v>-75.001290574088458</v>
      </c>
      <c r="G445" s="1">
        <f t="shared" ca="1" si="58"/>
        <v>6.9332120707324252E-2</v>
      </c>
      <c r="H445" s="1">
        <f t="shared" ca="1" si="54"/>
        <v>-1.9112957600325223E-3</v>
      </c>
      <c r="I445" s="1">
        <f t="shared" ca="1" si="59"/>
        <v>-75.008110436277718</v>
      </c>
      <c r="K445" s="1">
        <f t="shared" ca="1" si="55"/>
        <v>-2.2435500749565353E-3</v>
      </c>
    </row>
    <row r="446" spans="5:11" x14ac:dyDescent="0.25">
      <c r="E446" s="1">
        <f t="shared" si="56"/>
        <v>872</v>
      </c>
      <c r="F446" s="1">
        <f t="shared" ca="1" si="62"/>
        <v>-74.862626332673813</v>
      </c>
      <c r="G446" s="1">
        <f t="shared" ca="1" si="58"/>
        <v>6.5509529187259205E-2</v>
      </c>
      <c r="H446" s="1">
        <f t="shared" ca="1" si="54"/>
        <v>-2.9526446193530662E-3</v>
      </c>
      <c r="I446" s="1">
        <f t="shared" ca="1" si="59"/>
        <v>-75.016086491280802</v>
      </c>
      <c r="K446" s="1">
        <f t="shared" ca="1" si="55"/>
        <v>-7.9760550030830765E-3</v>
      </c>
    </row>
    <row r="447" spans="5:11" x14ac:dyDescent="0.25">
      <c r="E447" s="1">
        <f t="shared" si="56"/>
        <v>874</v>
      </c>
      <c r="F447" s="1">
        <f t="shared" ca="1" si="62"/>
        <v>-74.731607274299293</v>
      </c>
      <c r="G447" s="1">
        <f t="shared" ca="1" si="58"/>
        <v>5.9604239948553073E-2</v>
      </c>
      <c r="H447" s="1">
        <f t="shared" ca="1" si="54"/>
        <v>-3.8282303833842932E-3</v>
      </c>
      <c r="I447" s="1">
        <f t="shared" ca="1" si="59"/>
        <v>-75.017611986191994</v>
      </c>
      <c r="K447" s="1">
        <f t="shared" ca="1" si="55"/>
        <v>-1.5254949111906547E-3</v>
      </c>
    </row>
    <row r="448" spans="5:11" x14ac:dyDescent="0.25">
      <c r="E448" s="1">
        <f t="shared" si="56"/>
        <v>876</v>
      </c>
      <c r="F448" s="1">
        <f t="shared" ca="1" si="62"/>
        <v>-74.612398794402182</v>
      </c>
      <c r="G448" s="1">
        <f t="shared" ca="1" si="58"/>
        <v>5.194777918178449E-2</v>
      </c>
      <c r="H448" s="1">
        <f t="shared" ca="1" si="54"/>
        <v>-4.5918792051413693E-3</v>
      </c>
      <c r="I448" s="1">
        <f t="shared" ca="1" si="59"/>
        <v>-75.022614015308534</v>
      </c>
      <c r="K448" s="1">
        <f t="shared" ca="1" si="55"/>
        <v>-5.0020291165340878E-3</v>
      </c>
    </row>
    <row r="449" spans="5:11" x14ac:dyDescent="0.25">
      <c r="E449" s="1">
        <f t="shared" si="56"/>
        <v>878</v>
      </c>
      <c r="F449" s="1">
        <f t="shared" ca="1" si="62"/>
        <v>-74.508503236038607</v>
      </c>
      <c r="G449" s="1">
        <f t="shared" ca="1" si="58"/>
        <v>4.2764020771501751E-2</v>
      </c>
      <c r="H449" s="1">
        <f t="shared" ca="1" si="54"/>
        <v>-5.1210998361122233E-3</v>
      </c>
      <c r="I449" s="1">
        <f t="shared" ca="1" si="59"/>
        <v>-75.018121707761168</v>
      </c>
      <c r="K449" s="1">
        <f t="shared" ca="1" si="55"/>
        <v>4.4923075473698917E-3</v>
      </c>
    </row>
    <row r="450" spans="5:11" x14ac:dyDescent="0.25">
      <c r="E450" s="1">
        <f t="shared" si="56"/>
        <v>880</v>
      </c>
      <c r="F450" s="1">
        <f t="shared" ca="1" si="62"/>
        <v>-74.422975194495606</v>
      </c>
      <c r="G450" s="1">
        <f t="shared" ca="1" si="58"/>
        <v>3.2521821099277301E-2</v>
      </c>
      <c r="H450" s="1">
        <f t="shared" ca="1" si="54"/>
        <v>-5.462111863429011E-3</v>
      </c>
      <c r="I450" s="1">
        <f t="shared" ca="1" si="59"/>
        <v>-75.011504304491552</v>
      </c>
      <c r="K450" s="1">
        <f t="shared" ca="1" si="55"/>
        <v>6.617403269615043E-3</v>
      </c>
    </row>
    <row r="451" spans="5:11" x14ac:dyDescent="0.25">
      <c r="E451" s="1">
        <f t="shared" si="56"/>
        <v>882</v>
      </c>
      <c r="F451" s="1">
        <f t="shared" ca="1" si="62"/>
        <v>-74.357931552297046</v>
      </c>
      <c r="G451" s="1">
        <f t="shared" ca="1" si="58"/>
        <v>2.1597597372419279E-2</v>
      </c>
      <c r="H451" s="1">
        <f t="shared" ca="1" si="54"/>
        <v>-5.6801250643783927E-3</v>
      </c>
      <c r="I451" s="1">
        <f t="shared" ca="1" si="59"/>
        <v>-75.011945584963399</v>
      </c>
      <c r="K451" s="1">
        <f t="shared" ca="1" si="55"/>
        <v>-4.4128047184585297E-4</v>
      </c>
    </row>
    <row r="452" spans="5:11" x14ac:dyDescent="0.25">
      <c r="E452" s="1">
        <f t="shared" si="56"/>
        <v>884</v>
      </c>
      <c r="F452" s="1">
        <f t="shared" ca="1" si="62"/>
        <v>-74.314736357552206</v>
      </c>
      <c r="G452" s="1">
        <f t="shared" ca="1" si="58"/>
        <v>1.0237347243662494E-2</v>
      </c>
      <c r="H452" s="1">
        <f t="shared" ca="1" si="54"/>
        <v>-5.6364614590268518E-3</v>
      </c>
      <c r="I452" s="1">
        <f t="shared" ca="1" si="59"/>
        <v>-75.002185146385116</v>
      </c>
      <c r="K452" s="1">
        <f t="shared" ca="1" si="55"/>
        <v>9.7604385782900007E-3</v>
      </c>
    </row>
    <row r="453" spans="5:11" x14ac:dyDescent="0.25">
      <c r="E453" s="1">
        <f t="shared" si="56"/>
        <v>886</v>
      </c>
      <c r="F453" s="1">
        <f t="shared" ca="1" si="62"/>
        <v>-74.294261663064887</v>
      </c>
      <c r="G453" s="1">
        <f t="shared" ca="1" si="58"/>
        <v>-1.0355756743912099E-3</v>
      </c>
      <c r="H453" s="1">
        <f t="shared" ca="1" si="54"/>
        <v>-5.4214018162823587E-3</v>
      </c>
      <c r="I453" s="1">
        <f t="shared" ca="1" si="59"/>
        <v>-74.9928713097772</v>
      </c>
      <c r="K453" s="1">
        <f t="shared" ca="1" si="55"/>
        <v>9.3138366079204716E-3</v>
      </c>
    </row>
    <row r="454" spans="5:11" x14ac:dyDescent="0.25">
      <c r="E454" s="1">
        <f t="shared" si="56"/>
        <v>888</v>
      </c>
      <c r="F454" s="1">
        <f t="shared" ca="1" si="62"/>
        <v>-74.296332814413674</v>
      </c>
      <c r="G454" s="1">
        <f t="shared" ca="1" si="58"/>
        <v>-1.1878379306955927E-2</v>
      </c>
      <c r="H454" s="1">
        <f t="shared" ca="1" si="54"/>
        <v>-5.1615769000616244E-3</v>
      </c>
      <c r="I454" s="1">
        <f t="shared" ca="1" si="59"/>
        <v>-74.99888633563009</v>
      </c>
      <c r="K454" s="1">
        <f t="shared" ca="1" si="55"/>
        <v>-6.0150258528859539E-3</v>
      </c>
    </row>
    <row r="455" spans="5:11" x14ac:dyDescent="0.25">
      <c r="E455" s="1">
        <f t="shared" si="56"/>
        <v>890</v>
      </c>
      <c r="F455" s="1">
        <f t="shared" ca="1" si="62"/>
        <v>-74.320089573027587</v>
      </c>
      <c r="G455" s="1">
        <f t="shared" ca="1" si="58"/>
        <v>-2.2201533107079174E-2</v>
      </c>
      <c r="H455" s="1">
        <f t="shared" ca="1" si="54"/>
        <v>-4.7705766344891508E-3</v>
      </c>
      <c r="I455" s="1">
        <f t="shared" ca="1" si="59"/>
        <v>-75.007984152740264</v>
      </c>
      <c r="K455" s="1">
        <f t="shared" ca="1" si="55"/>
        <v>-9.0978171101788081E-3</v>
      </c>
    </row>
    <row r="456" spans="5:11" x14ac:dyDescent="0.25">
      <c r="E456" s="1">
        <f t="shared" si="56"/>
        <v>892</v>
      </c>
      <c r="F456" s="1">
        <f t="shared" ca="1" si="62"/>
        <v>-74.364492639241746</v>
      </c>
      <c r="G456" s="1">
        <f t="shared" ca="1" si="58"/>
        <v>-3.1742686376057476E-2</v>
      </c>
      <c r="H456" s="1">
        <f t="shared" ca="1" si="54"/>
        <v>-4.2321319563263732E-3</v>
      </c>
      <c r="I456" s="1">
        <f t="shared" ca="1" si="59"/>
        <v>-75.016138274011581</v>
      </c>
      <c r="K456" s="1">
        <f t="shared" ca="1" si="55"/>
        <v>-8.1541212713239757E-3</v>
      </c>
    </row>
    <row r="457" spans="5:11" x14ac:dyDescent="0.25">
      <c r="E457" s="1">
        <f t="shared" si="56"/>
        <v>894</v>
      </c>
      <c r="F457" s="1">
        <f t="shared" ca="1" si="62"/>
        <v>-74.427978011993858</v>
      </c>
      <c r="G457" s="1">
        <f t="shared" ca="1" si="58"/>
        <v>-4.0206950288710221E-2</v>
      </c>
      <c r="H457" s="1">
        <f t="shared" ca="1" si="54"/>
        <v>-3.5805969605226416E-3</v>
      </c>
      <c r="I457" s="1">
        <f t="shared" ca="1" si="59"/>
        <v>-75.025175861770791</v>
      </c>
      <c r="K457" s="1">
        <f t="shared" ca="1" si="55"/>
        <v>-9.0375877592157733E-3</v>
      </c>
    </row>
    <row r="458" spans="5:11" x14ac:dyDescent="0.25">
      <c r="E458" s="1">
        <f t="shared" si="56"/>
        <v>896</v>
      </c>
      <c r="F458" s="1">
        <f t="shared" ca="1" si="62"/>
        <v>-74.508391912571284</v>
      </c>
      <c r="G458" s="1">
        <f t="shared" ca="1" si="58"/>
        <v>-4.7368144209755506E-2</v>
      </c>
      <c r="H458" s="1">
        <f t="shared" ref="H458:H510" ca="1" si="63">-k*(F458-I458)/m-(b+bb)*G458</f>
        <v>-2.7461386885400158E-3</v>
      </c>
      <c r="I458" s="1">
        <f t="shared" ca="1" si="59"/>
        <v>-75.023213060438138</v>
      </c>
      <c r="K458" s="1">
        <f t="shared" ref="K458:K510" ca="1" si="64">NoiseAmp*(0.5-RAND())</f>
        <v>1.9628013326471972E-3</v>
      </c>
    </row>
    <row r="459" spans="5:11" x14ac:dyDescent="0.25">
      <c r="E459" s="1">
        <f t="shared" ref="E459:E510" si="65">E458+dt</f>
        <v>898</v>
      </c>
      <c r="F459" s="1">
        <f t="shared" ref="F459:F474" ca="1" si="66">F458+G458*dt</f>
        <v>-74.603128200990795</v>
      </c>
      <c r="G459" s="1">
        <f t="shared" ref="G459:G510" ca="1" si="67">IF(ABS(F459)&gt;100,-1.2*G458,G458+H458*dt)</f>
        <v>-5.2860421586835536E-2</v>
      </c>
      <c r="H459" s="1">
        <f t="shared" ca="1" si="63"/>
        <v>-1.8353062560615835E-3</v>
      </c>
      <c r="I459" s="1">
        <f t="shared" ca="1" si="59"/>
        <v>-75.02004686183551</v>
      </c>
      <c r="K459" s="1">
        <f t="shared" ca="1" si="64"/>
        <v>3.1661986026282917E-3</v>
      </c>
    </row>
    <row r="460" spans="5:11" x14ac:dyDescent="0.25">
      <c r="E460" s="1">
        <f t="shared" si="65"/>
        <v>900</v>
      </c>
      <c r="F460" s="1">
        <f t="shared" ca="1" si="66"/>
        <v>-74.708849044164467</v>
      </c>
      <c r="G460" s="1">
        <f t="shared" ca="1" si="67"/>
        <v>-5.6531034098958703E-2</v>
      </c>
      <c r="H460" s="1">
        <f t="shared" ca="1" si="63"/>
        <v>-9.763542186865975E-4</v>
      </c>
      <c r="I460" s="1">
        <f t="shared" ref="I460:I510" ca="1" si="68">I459+K460</f>
        <v>-75.028257497054042</v>
      </c>
      <c r="K460" s="1">
        <f t="shared" ca="1" si="64"/>
        <v>-8.2106352185386464E-3</v>
      </c>
    </row>
    <row r="461" spans="5:11" x14ac:dyDescent="0.25">
      <c r="E461" s="1">
        <f t="shared" si="65"/>
        <v>902</v>
      </c>
      <c r="F461" s="1">
        <f t="shared" ca="1" si="66"/>
        <v>-74.821911112362386</v>
      </c>
      <c r="G461" s="1">
        <f t="shared" ca="1" si="67"/>
        <v>-5.8483742536331901E-2</v>
      </c>
      <c r="H461" s="1">
        <f t="shared" ca="1" si="63"/>
        <v>2.4857927791412798E-5</v>
      </c>
      <c r="I461" s="1">
        <f t="shared" ca="1" si="68"/>
        <v>-75.019668339565243</v>
      </c>
      <c r="K461" s="1">
        <f t="shared" ca="1" si="64"/>
        <v>8.5891574888021134E-3</v>
      </c>
    </row>
    <row r="462" spans="5:11" x14ac:dyDescent="0.25">
      <c r="E462" s="1">
        <f t="shared" si="65"/>
        <v>904</v>
      </c>
      <c r="F462" s="1">
        <f t="shared" ca="1" si="66"/>
        <v>-74.93887859743505</v>
      </c>
      <c r="G462" s="1">
        <f t="shared" ca="1" si="67"/>
        <v>-5.8434026680749075E-2</v>
      </c>
      <c r="H462" s="1">
        <f t="shared" ca="1" si="63"/>
        <v>1.0056310778226785E-3</v>
      </c>
      <c r="I462" s="1">
        <f t="shared" ca="1" si="68"/>
        <v>-75.01072485861728</v>
      </c>
      <c r="K462" s="1">
        <f t="shared" ca="1" si="64"/>
        <v>8.9434809479626773E-3</v>
      </c>
    </row>
    <row r="463" spans="5:11" x14ac:dyDescent="0.25">
      <c r="E463" s="1">
        <f t="shared" si="65"/>
        <v>906</v>
      </c>
      <c r="F463" s="1">
        <f t="shared" ca="1" si="66"/>
        <v>-75.05574665079655</v>
      </c>
      <c r="G463" s="1">
        <f t="shared" ca="1" si="67"/>
        <v>-5.6422764525103718E-2</v>
      </c>
      <c r="H463" s="1">
        <f t="shared" ca="1" si="63"/>
        <v>1.8733506382024652E-3</v>
      </c>
      <c r="I463" s="1">
        <f t="shared" ca="1" si="68"/>
        <v>-75.009436324010693</v>
      </c>
      <c r="K463" s="1">
        <f t="shared" ca="1" si="64"/>
        <v>1.2885346065878522E-3</v>
      </c>
    </row>
    <row r="464" spans="5:11" x14ac:dyDescent="0.25">
      <c r="E464" s="1">
        <f t="shared" si="65"/>
        <v>908</v>
      </c>
      <c r="F464" s="1">
        <f t="shared" ca="1" si="66"/>
        <v>-75.168592179846755</v>
      </c>
      <c r="G464" s="1">
        <f t="shared" ca="1" si="67"/>
        <v>-5.2676063248698786E-2</v>
      </c>
      <c r="H464" s="1">
        <f t="shared" ca="1" si="63"/>
        <v>2.7252511853792152E-3</v>
      </c>
      <c r="I464" s="1">
        <f t="shared" ca="1" si="68"/>
        <v>-75.00019055288341</v>
      </c>
      <c r="K464" s="1">
        <f t="shared" ca="1" si="64"/>
        <v>9.2457711272829497E-3</v>
      </c>
    </row>
    <row r="465" spans="5:11" x14ac:dyDescent="0.25">
      <c r="E465" s="1">
        <f t="shared" si="65"/>
        <v>910</v>
      </c>
      <c r="F465" s="1">
        <f t="shared" ca="1" si="66"/>
        <v>-75.273944306344148</v>
      </c>
      <c r="G465" s="1">
        <f t="shared" ca="1" si="67"/>
        <v>-4.7225560877940359E-2</v>
      </c>
      <c r="H465" s="1">
        <f t="shared" ca="1" si="63"/>
        <v>3.3492912961687596E-3</v>
      </c>
      <c r="I465" s="1">
        <f t="shared" ca="1" si="68"/>
        <v>-75.006810169851846</v>
      </c>
      <c r="K465" s="1">
        <f t="shared" ca="1" si="64"/>
        <v>-6.6196169684410375E-3</v>
      </c>
    </row>
    <row r="466" spans="5:11" x14ac:dyDescent="0.25">
      <c r="E466" s="1">
        <f t="shared" si="65"/>
        <v>912</v>
      </c>
      <c r="F466" s="1">
        <f t="shared" ca="1" si="66"/>
        <v>-75.36839542810003</v>
      </c>
      <c r="G466" s="1">
        <f t="shared" ca="1" si="67"/>
        <v>-4.0526978285602838E-2</v>
      </c>
      <c r="H466" s="1">
        <f t="shared" ca="1" si="63"/>
        <v>3.8808107889355889E-3</v>
      </c>
      <c r="I466" s="1">
        <f t="shared" ca="1" si="68"/>
        <v>-75.010102124140872</v>
      </c>
      <c r="K466" s="1">
        <f t="shared" ca="1" si="64"/>
        <v>-3.2919542890246433E-3</v>
      </c>
    </row>
    <row r="467" spans="5:11" x14ac:dyDescent="0.25">
      <c r="E467" s="1">
        <f t="shared" si="65"/>
        <v>914</v>
      </c>
      <c r="F467" s="1">
        <f t="shared" ca="1" si="66"/>
        <v>-75.44944938467124</v>
      </c>
      <c r="G467" s="1">
        <f t="shared" ca="1" si="67"/>
        <v>-3.276535670773166E-2</v>
      </c>
      <c r="H467" s="1">
        <f t="shared" ca="1" si="63"/>
        <v>4.320224575668578E-3</v>
      </c>
      <c r="I467" s="1">
        <f t="shared" ca="1" si="68"/>
        <v>-75.008152844171065</v>
      </c>
      <c r="K467" s="1">
        <f t="shared" ca="1" si="64"/>
        <v>1.9492799698104224E-3</v>
      </c>
    </row>
    <row r="468" spans="5:11" x14ac:dyDescent="0.25">
      <c r="E468" s="1">
        <f t="shared" si="65"/>
        <v>916</v>
      </c>
      <c r="F468" s="1">
        <f t="shared" ca="1" si="66"/>
        <v>-75.51498009808671</v>
      </c>
      <c r="G468" s="1">
        <f t="shared" ca="1" si="67"/>
        <v>-2.4124907556394504E-2</v>
      </c>
      <c r="H468" s="1">
        <f t="shared" ca="1" si="63"/>
        <v>4.6008841924780148E-3</v>
      </c>
      <c r="I468" s="1">
        <f t="shared" ca="1" si="68"/>
        <v>-75.008013858347397</v>
      </c>
      <c r="K468" s="1">
        <f t="shared" ca="1" si="64"/>
        <v>1.3898582366815183E-4</v>
      </c>
    </row>
    <row r="469" spans="5:11" x14ac:dyDescent="0.25">
      <c r="E469" s="1">
        <f t="shared" si="65"/>
        <v>918</v>
      </c>
      <c r="F469" s="1">
        <f t="shared" ca="1" si="66"/>
        <v>-75.563229913199493</v>
      </c>
      <c r="G469" s="1">
        <f t="shared" ca="1" si="67"/>
        <v>-1.4923139171438475E-2</v>
      </c>
      <c r="H469" s="1">
        <f t="shared" ca="1" si="63"/>
        <v>4.7687500766117599E-3</v>
      </c>
      <c r="I469" s="1">
        <f t="shared" ca="1" si="68"/>
        <v>-75.003126073863953</v>
      </c>
      <c r="K469" s="1">
        <f t="shared" ca="1" si="64"/>
        <v>4.8877844834425343E-3</v>
      </c>
    </row>
    <row r="470" spans="5:11" x14ac:dyDescent="0.25">
      <c r="E470" s="1">
        <f t="shared" si="65"/>
        <v>920</v>
      </c>
      <c r="F470" s="1">
        <f t="shared" ca="1" si="66"/>
        <v>-75.593076191542366</v>
      </c>
      <c r="G470" s="1">
        <f t="shared" ca="1" si="67"/>
        <v>-5.3856390182149549E-3</v>
      </c>
      <c r="H470" s="1">
        <f t="shared" ca="1" si="63"/>
        <v>4.7698296545264666E-3</v>
      </c>
      <c r="I470" s="1">
        <f t="shared" ca="1" si="68"/>
        <v>-75.000064072460532</v>
      </c>
      <c r="K470" s="1">
        <f t="shared" ca="1" si="64"/>
        <v>3.0620014034146784E-3</v>
      </c>
    </row>
    <row r="471" spans="5:11" x14ac:dyDescent="0.25">
      <c r="E471" s="1">
        <f t="shared" si="65"/>
        <v>922</v>
      </c>
      <c r="F471" s="1">
        <f t="shared" ca="1" si="66"/>
        <v>-75.603847469578795</v>
      </c>
      <c r="G471" s="1">
        <f t="shared" ca="1" si="67"/>
        <v>4.1540202908379783E-3</v>
      </c>
      <c r="H471" s="1">
        <f t="shared" ca="1" si="63"/>
        <v>4.5571872053626755E-3</v>
      </c>
      <c r="I471" s="1">
        <f t="shared" ca="1" si="68"/>
        <v>-75.005319911994548</v>
      </c>
      <c r="K471" s="1">
        <f t="shared" ca="1" si="64"/>
        <v>-5.2558395340181049E-3</v>
      </c>
    </row>
    <row r="472" spans="5:11" x14ac:dyDescent="0.25">
      <c r="E472" s="1">
        <f t="shared" si="65"/>
        <v>924</v>
      </c>
      <c r="F472" s="1">
        <f t="shared" ca="1" si="66"/>
        <v>-75.595539428997114</v>
      </c>
      <c r="G472" s="1">
        <f t="shared" ca="1" si="67"/>
        <v>1.3268394701563329E-2</v>
      </c>
      <c r="H472" s="1">
        <f t="shared" ca="1" si="63"/>
        <v>4.3158158695607027E-3</v>
      </c>
      <c r="I472" s="1">
        <f t="shared" ca="1" si="68"/>
        <v>-74.996640858796781</v>
      </c>
      <c r="K472" s="1">
        <f t="shared" ca="1" si="64"/>
        <v>8.6790531977703807E-3</v>
      </c>
    </row>
    <row r="473" spans="5:11" x14ac:dyDescent="0.25">
      <c r="E473" s="1">
        <f t="shared" si="65"/>
        <v>926</v>
      </c>
      <c r="F473" s="1">
        <f t="shared" ca="1" si="66"/>
        <v>-75.56900263959399</v>
      </c>
      <c r="G473" s="1">
        <f t="shared" ca="1" si="67"/>
        <v>2.1900026440684735E-2</v>
      </c>
      <c r="H473" s="1">
        <f t="shared" ca="1" si="63"/>
        <v>3.8364111935553142E-3</v>
      </c>
      <c r="I473" s="1">
        <f t="shared" ca="1" si="68"/>
        <v>-75.001908805983007</v>
      </c>
      <c r="K473" s="1">
        <f t="shared" ca="1" si="64"/>
        <v>-5.2679471862302416E-3</v>
      </c>
    </row>
    <row r="474" spans="5:11" x14ac:dyDescent="0.25">
      <c r="E474" s="1">
        <f t="shared" si="65"/>
        <v>928</v>
      </c>
      <c r="F474" s="1">
        <f t="shared" ca="1" si="66"/>
        <v>-75.525202586712624</v>
      </c>
      <c r="G474" s="1">
        <f t="shared" ca="1" si="67"/>
        <v>2.9572848827795362E-2</v>
      </c>
      <c r="H474" s="1">
        <f t="shared" ca="1" si="63"/>
        <v>3.2965773867683463E-3</v>
      </c>
      <c r="I474" s="1">
        <f t="shared" ca="1" si="68"/>
        <v>-75.000955184744257</v>
      </c>
      <c r="K474" s="1">
        <f t="shared" ca="1" si="64"/>
        <v>9.5362123875682994E-4</v>
      </c>
    </row>
    <row r="475" spans="5:11" x14ac:dyDescent="0.25">
      <c r="E475" s="1">
        <f t="shared" si="65"/>
        <v>930</v>
      </c>
      <c r="F475" s="1">
        <f t="shared" ref="F475:F490" ca="1" si="69">F474+G474*dt</f>
        <v>-75.466056889057029</v>
      </c>
      <c r="G475" s="1">
        <f t="shared" ca="1" si="67"/>
        <v>3.6166003601332056E-2</v>
      </c>
      <c r="H475" s="1">
        <f t="shared" ca="1" si="63"/>
        <v>2.6506223641878366E-3</v>
      </c>
      <c r="I475" s="1">
        <f t="shared" ca="1" si="68"/>
        <v>-75.001970829992473</v>
      </c>
      <c r="K475" s="1">
        <f t="shared" ca="1" si="64"/>
        <v>-1.0156452482219147E-3</v>
      </c>
    </row>
    <row r="476" spans="5:11" x14ac:dyDescent="0.25">
      <c r="E476" s="1">
        <f t="shared" si="65"/>
        <v>932</v>
      </c>
      <c r="F476" s="1">
        <f t="shared" ca="1" si="69"/>
        <v>-75.393724881854368</v>
      </c>
      <c r="G476" s="1">
        <f t="shared" ca="1" si="67"/>
        <v>4.1467248329707732E-2</v>
      </c>
      <c r="H476" s="1">
        <f t="shared" ca="1" si="63"/>
        <v>2.0020747165898842E-3</v>
      </c>
      <c r="I476" s="1">
        <f t="shared" ca="1" si="68"/>
        <v>-74.994571423927951</v>
      </c>
      <c r="K476" s="1">
        <f t="shared" ca="1" si="64"/>
        <v>7.3994060645208417E-3</v>
      </c>
    </row>
    <row r="477" spans="5:11" x14ac:dyDescent="0.25">
      <c r="E477" s="1">
        <f t="shared" si="65"/>
        <v>934</v>
      </c>
      <c r="F477" s="1">
        <f t="shared" ca="1" si="69"/>
        <v>-75.310790385194949</v>
      </c>
      <c r="G477" s="1">
        <f t="shared" ca="1" si="67"/>
        <v>4.54713977628875E-2</v>
      </c>
      <c r="H477" s="1">
        <f t="shared" ca="1" si="63"/>
        <v>1.2408405819090004E-3</v>
      </c>
      <c r="I477" s="1">
        <f t="shared" ca="1" si="68"/>
        <v>-74.995473200329002</v>
      </c>
      <c r="K477" s="1">
        <f t="shared" ca="1" si="64"/>
        <v>-9.0177640104781797E-4</v>
      </c>
    </row>
    <row r="478" spans="5:11" x14ac:dyDescent="0.25">
      <c r="E478" s="1">
        <f t="shared" si="65"/>
        <v>936</v>
      </c>
      <c r="F478" s="1">
        <f t="shared" ca="1" si="69"/>
        <v>-75.219847589669172</v>
      </c>
      <c r="G478" s="1">
        <f t="shared" ca="1" si="67"/>
        <v>4.79530789267055E-2</v>
      </c>
      <c r="H478" s="1">
        <f t="shared" ca="1" si="63"/>
        <v>4.7492269486741688E-4</v>
      </c>
      <c r="I478" s="1">
        <f t="shared" ca="1" si="68"/>
        <v>-74.994198203758515</v>
      </c>
      <c r="K478" s="1">
        <f t="shared" ca="1" si="64"/>
        <v>1.2749965704882205E-3</v>
      </c>
    </row>
    <row r="479" spans="5:11" x14ac:dyDescent="0.25">
      <c r="E479" s="1">
        <f t="shared" si="65"/>
        <v>938</v>
      </c>
      <c r="F479" s="1">
        <f t="shared" ca="1" si="69"/>
        <v>-75.123941431815766</v>
      </c>
      <c r="G479" s="1">
        <f t="shared" ca="1" si="67"/>
        <v>4.8902924316440333E-2</v>
      </c>
      <c r="H479" s="1">
        <f t="shared" ca="1" si="63"/>
        <v>-3.2332890023893711E-4</v>
      </c>
      <c r="I479" s="1">
        <f t="shared" ca="1" si="68"/>
        <v>-74.997368422656578</v>
      </c>
      <c r="K479" s="1">
        <f t="shared" ca="1" si="64"/>
        <v>-3.1702188980671899E-3</v>
      </c>
    </row>
    <row r="480" spans="5:11" x14ac:dyDescent="0.25">
      <c r="E480" s="1">
        <f t="shared" si="65"/>
        <v>940</v>
      </c>
      <c r="F480" s="1">
        <f t="shared" ca="1" si="69"/>
        <v>-75.026135583182878</v>
      </c>
      <c r="G480" s="1">
        <f t="shared" ca="1" si="67"/>
        <v>4.8256266515962459E-2</v>
      </c>
      <c r="H480" s="1">
        <f t="shared" ca="1" si="63"/>
        <v>-1.0515067013311136E-3</v>
      </c>
      <c r="I480" s="1">
        <f t="shared" ca="1" si="68"/>
        <v>-74.995140552247406</v>
      </c>
      <c r="K480" s="1">
        <f t="shared" ca="1" si="64"/>
        <v>2.2278704091700007E-3</v>
      </c>
    </row>
    <row r="481" spans="5:11" x14ac:dyDescent="0.25">
      <c r="E481" s="1">
        <f t="shared" si="65"/>
        <v>942</v>
      </c>
      <c r="F481" s="1">
        <f t="shared" ca="1" si="69"/>
        <v>-74.929623050150951</v>
      </c>
      <c r="G481" s="1">
        <f t="shared" ca="1" si="67"/>
        <v>4.6153253113300235E-2</v>
      </c>
      <c r="H481" s="1">
        <f t="shared" ca="1" si="63"/>
        <v>-1.722169264813576E-3</v>
      </c>
      <c r="I481" s="1">
        <f t="shared" ca="1" si="68"/>
        <v>-74.991836137506994</v>
      </c>
      <c r="K481" s="1">
        <f t="shared" ca="1" si="64"/>
        <v>3.3044147404165569E-3</v>
      </c>
    </row>
    <row r="482" spans="5:11" x14ac:dyDescent="0.25">
      <c r="E482" s="1">
        <f t="shared" si="65"/>
        <v>944</v>
      </c>
      <c r="F482" s="1">
        <f t="shared" ca="1" si="69"/>
        <v>-74.837316543924345</v>
      </c>
      <c r="G482" s="1">
        <f t="shared" ca="1" si="67"/>
        <v>4.2708914583673083E-2</v>
      </c>
      <c r="H482" s="1">
        <f t="shared" ca="1" si="63"/>
        <v>-2.3930971810044812E-3</v>
      </c>
      <c r="I482" s="1">
        <f t="shared" ca="1" si="68"/>
        <v>-74.997380424714351</v>
      </c>
      <c r="K482" s="1">
        <f t="shared" ca="1" si="64"/>
        <v>-5.5442872073580163E-3</v>
      </c>
    </row>
    <row r="483" spans="5:11" x14ac:dyDescent="0.25">
      <c r="E483" s="1">
        <f t="shared" si="65"/>
        <v>946</v>
      </c>
      <c r="F483" s="1">
        <f t="shared" ca="1" si="69"/>
        <v>-74.751898714757004</v>
      </c>
      <c r="G483" s="1">
        <f t="shared" ca="1" si="67"/>
        <v>3.7922720221664118E-2</v>
      </c>
      <c r="H483" s="1">
        <f t="shared" ca="1" si="63"/>
        <v>-2.8685856130394871E-3</v>
      </c>
      <c r="I483" s="1">
        <f t="shared" ca="1" si="68"/>
        <v>-74.989367523872247</v>
      </c>
      <c r="K483" s="1">
        <f t="shared" ca="1" si="64"/>
        <v>8.0129008421007588E-3</v>
      </c>
    </row>
    <row r="484" spans="5:11" x14ac:dyDescent="0.25">
      <c r="E484" s="1">
        <f t="shared" si="65"/>
        <v>948</v>
      </c>
      <c r="F484" s="1">
        <f t="shared" ca="1" si="69"/>
        <v>-74.676053274313674</v>
      </c>
      <c r="G484" s="1">
        <f t="shared" ca="1" si="67"/>
        <v>3.2185548995585143E-2</v>
      </c>
      <c r="H484" s="1">
        <f t="shared" ca="1" si="63"/>
        <v>-3.3146406042116475E-3</v>
      </c>
      <c r="I484" s="1">
        <f t="shared" ca="1" si="68"/>
        <v>-74.990420952663669</v>
      </c>
      <c r="K484" s="1">
        <f t="shared" ca="1" si="64"/>
        <v>-1.0534287914232675E-3</v>
      </c>
    </row>
    <row r="485" spans="5:11" x14ac:dyDescent="0.25">
      <c r="E485" s="1">
        <f t="shared" si="65"/>
        <v>950</v>
      </c>
      <c r="F485" s="1">
        <f t="shared" ca="1" si="69"/>
        <v>-74.611682176322503</v>
      </c>
      <c r="G485" s="1">
        <f t="shared" ca="1" si="67"/>
        <v>2.555626778716185E-2</v>
      </c>
      <c r="H485" s="1">
        <f t="shared" ca="1" si="63"/>
        <v>-3.6993441656989813E-3</v>
      </c>
      <c r="I485" s="1">
        <f t="shared" ca="1" si="68"/>
        <v>-74.998148354399817</v>
      </c>
      <c r="K485" s="1">
        <f t="shared" ca="1" si="64"/>
        <v>-7.7274017361466151E-3</v>
      </c>
    </row>
    <row r="486" spans="5:11" x14ac:dyDescent="0.25">
      <c r="E486" s="1">
        <f t="shared" si="65"/>
        <v>952</v>
      </c>
      <c r="F486" s="1">
        <f t="shared" ca="1" si="69"/>
        <v>-74.560569640748184</v>
      </c>
      <c r="G486" s="1">
        <f t="shared" ca="1" si="67"/>
        <v>1.8157579455763889E-2</v>
      </c>
      <c r="H486" s="1">
        <f t="shared" ca="1" si="63"/>
        <v>-3.8855533163008413E-3</v>
      </c>
      <c r="I486" s="1">
        <f t="shared" ca="1" si="68"/>
        <v>-74.996329921118232</v>
      </c>
      <c r="K486" s="1">
        <f t="shared" ca="1" si="64"/>
        <v>1.8184332815842441E-3</v>
      </c>
    </row>
    <row r="487" spans="5:11" x14ac:dyDescent="0.25">
      <c r="E487" s="1">
        <f t="shared" si="65"/>
        <v>954</v>
      </c>
      <c r="F487" s="1">
        <f t="shared" ca="1" si="69"/>
        <v>-74.52425448183665</v>
      </c>
      <c r="G487" s="1">
        <f t="shared" ca="1" si="67"/>
        <v>1.0386472823162206E-2</v>
      </c>
      <c r="H487" s="1">
        <f t="shared" ca="1" si="63"/>
        <v>-3.95062055642209E-3</v>
      </c>
      <c r="I487" s="1">
        <f t="shared" ca="1" si="68"/>
        <v>-74.995057441421437</v>
      </c>
      <c r="K487" s="1">
        <f t="shared" ca="1" si="64"/>
        <v>1.2724796967953078E-3</v>
      </c>
    </row>
    <row r="488" spans="5:11" x14ac:dyDescent="0.25">
      <c r="E488" s="1">
        <f t="shared" si="65"/>
        <v>956</v>
      </c>
      <c r="F488" s="1">
        <f t="shared" ca="1" si="69"/>
        <v>-74.503481536190321</v>
      </c>
      <c r="G488" s="1">
        <f t="shared" ca="1" si="67"/>
        <v>2.4852317103180258E-3</v>
      </c>
      <c r="H488" s="1">
        <f t="shared" ca="1" si="63"/>
        <v>-3.8731527823682218E-3</v>
      </c>
      <c r="I488" s="1">
        <f t="shared" ca="1" si="68"/>
        <v>-74.991500583950796</v>
      </c>
      <c r="K488" s="1">
        <f t="shared" ca="1" si="64"/>
        <v>3.5568574706480627E-3</v>
      </c>
    </row>
    <row r="489" spans="5:11" x14ac:dyDescent="0.25">
      <c r="E489" s="1">
        <f t="shared" si="65"/>
        <v>958</v>
      </c>
      <c r="F489" s="1">
        <f t="shared" ca="1" si="69"/>
        <v>-74.498511072769688</v>
      </c>
      <c r="G489" s="1">
        <f t="shared" ca="1" si="67"/>
        <v>-5.2610738544184178E-3</v>
      </c>
      <c r="H489" s="1">
        <f t="shared" ca="1" si="63"/>
        <v>-3.6274624980483648E-3</v>
      </c>
      <c r="I489" s="1">
        <f t="shared" ca="1" si="68"/>
        <v>-74.981646877557736</v>
      </c>
      <c r="K489" s="1">
        <f t="shared" ca="1" si="64"/>
        <v>9.8537063930589381E-3</v>
      </c>
    </row>
    <row r="490" spans="5:11" x14ac:dyDescent="0.25">
      <c r="E490" s="1">
        <f t="shared" si="65"/>
        <v>960</v>
      </c>
      <c r="F490" s="1">
        <f t="shared" ca="1" si="69"/>
        <v>-74.509033220478528</v>
      </c>
      <c r="G490" s="1">
        <f t="shared" ca="1" si="67"/>
        <v>-1.2515998850515148E-2</v>
      </c>
      <c r="H490" s="1">
        <f t="shared" ca="1" si="63"/>
        <v>-3.393767719592372E-3</v>
      </c>
      <c r="I490" s="1">
        <f t="shared" ca="1" si="68"/>
        <v>-74.987135334425474</v>
      </c>
      <c r="K490" s="1">
        <f t="shared" ca="1" si="64"/>
        <v>-5.4884568677417579E-3</v>
      </c>
    </row>
    <row r="491" spans="5:11" x14ac:dyDescent="0.25">
      <c r="E491" s="1">
        <f t="shared" si="65"/>
        <v>962</v>
      </c>
      <c r="F491" s="1">
        <f t="shared" ref="F491:F506" ca="1" si="70">F490+G490*dt</f>
        <v>-74.534065218179563</v>
      </c>
      <c r="G491" s="1">
        <f t="shared" ca="1" si="67"/>
        <v>-1.9303534289699893E-2</v>
      </c>
      <c r="H491" s="1">
        <f t="shared" ca="1" si="63"/>
        <v>-2.9995355722544272E-3</v>
      </c>
      <c r="I491" s="1">
        <f t="shared" ca="1" si="68"/>
        <v>-74.984946024746023</v>
      </c>
      <c r="K491" s="1">
        <f t="shared" ca="1" si="64"/>
        <v>2.1893096794527935E-3</v>
      </c>
    </row>
    <row r="492" spans="5:11" x14ac:dyDescent="0.25">
      <c r="E492" s="1">
        <f t="shared" si="65"/>
        <v>964</v>
      </c>
      <c r="F492" s="1">
        <f t="shared" ca="1" si="70"/>
        <v>-74.572672286758959</v>
      </c>
      <c r="G492" s="1">
        <f t="shared" ca="1" si="67"/>
        <v>-2.5302605434208748E-2</v>
      </c>
      <c r="H492" s="1">
        <f t="shared" ca="1" si="63"/>
        <v>-2.5255810194959889E-3</v>
      </c>
      <c r="I492" s="1">
        <f t="shared" ca="1" si="68"/>
        <v>-74.983401882288803</v>
      </c>
      <c r="K492" s="1">
        <f t="shared" ca="1" si="64"/>
        <v>1.5441424572248308E-3</v>
      </c>
    </row>
    <row r="493" spans="5:11" x14ac:dyDescent="0.25">
      <c r="E493" s="1">
        <f t="shared" si="65"/>
        <v>966</v>
      </c>
      <c r="F493" s="1">
        <f t="shared" ca="1" si="70"/>
        <v>-74.62327749762737</v>
      </c>
      <c r="G493" s="1">
        <f t="shared" ca="1" si="67"/>
        <v>-3.0353767473200725E-2</v>
      </c>
      <c r="H493" s="1">
        <f t="shared" ca="1" si="63"/>
        <v>-2.07156271626206E-3</v>
      </c>
      <c r="I493" s="1">
        <f t="shared" ca="1" si="68"/>
        <v>-74.993154893081709</v>
      </c>
      <c r="K493" s="1">
        <f t="shared" ca="1" si="64"/>
        <v>-9.7530107929019241E-3</v>
      </c>
    </row>
    <row r="494" spans="5:11" x14ac:dyDescent="0.25">
      <c r="E494" s="1">
        <f t="shared" si="65"/>
        <v>968</v>
      </c>
      <c r="F494" s="1">
        <f t="shared" ca="1" si="70"/>
        <v>-74.683985032573773</v>
      </c>
      <c r="G494" s="1">
        <f t="shared" ca="1" si="67"/>
        <v>-3.4496892905724844E-2</v>
      </c>
      <c r="H494" s="1">
        <f t="shared" ca="1" si="63"/>
        <v>-1.5021971810546034E-3</v>
      </c>
      <c r="I494" s="1">
        <f t="shared" ca="1" si="68"/>
        <v>-74.995102200641469</v>
      </c>
      <c r="K494" s="1">
        <f t="shared" ca="1" si="64"/>
        <v>-1.9473075597588397E-3</v>
      </c>
    </row>
    <row r="495" spans="5:11" x14ac:dyDescent="0.25">
      <c r="E495" s="1">
        <f t="shared" si="65"/>
        <v>970</v>
      </c>
      <c r="F495" s="1">
        <f t="shared" ca="1" si="70"/>
        <v>-74.752978818385216</v>
      </c>
      <c r="G495" s="1">
        <f t="shared" ca="1" si="67"/>
        <v>-3.7501287267834048E-2</v>
      </c>
      <c r="H495" s="1">
        <f t="shared" ca="1" si="63"/>
        <v>-9.3612749178258376E-4</v>
      </c>
      <c r="I495" s="1">
        <f t="shared" ca="1" si="68"/>
        <v>-75.001845740251952</v>
      </c>
      <c r="K495" s="1">
        <f t="shared" ca="1" si="64"/>
        <v>-6.7435396104777931E-3</v>
      </c>
    </row>
    <row r="496" spans="5:11" x14ac:dyDescent="0.25">
      <c r="E496" s="1">
        <f t="shared" si="65"/>
        <v>972</v>
      </c>
      <c r="F496" s="1">
        <f t="shared" ca="1" si="70"/>
        <v>-74.82798139292089</v>
      </c>
      <c r="G496" s="1">
        <f t="shared" ca="1" si="67"/>
        <v>-3.9373542251399218E-2</v>
      </c>
      <c r="H496" s="1">
        <f t="shared" ca="1" si="63"/>
        <v>-2.8757708123781358E-4</v>
      </c>
      <c r="I496" s="1">
        <f t="shared" ca="1" si="68"/>
        <v>-75.000133702353622</v>
      </c>
      <c r="K496" s="1">
        <f t="shared" ca="1" si="64"/>
        <v>1.7120378983228246E-3</v>
      </c>
    </row>
    <row r="497" spans="5:11" x14ac:dyDescent="0.25">
      <c r="E497" s="1">
        <f t="shared" si="65"/>
        <v>974</v>
      </c>
      <c r="F497" s="1">
        <f t="shared" ca="1" si="70"/>
        <v>-74.906728477423684</v>
      </c>
      <c r="G497" s="1">
        <f t="shared" ca="1" si="67"/>
        <v>-3.9948696413874843E-2</v>
      </c>
      <c r="H497" s="1">
        <f t="shared" ca="1" si="63"/>
        <v>4.0519962911124408E-4</v>
      </c>
      <c r="I497" s="1">
        <f t="shared" ca="1" si="68"/>
        <v>-74.992039430600684</v>
      </c>
      <c r="K497" s="1">
        <f t="shared" ca="1" si="64"/>
        <v>8.0942717529411366E-3</v>
      </c>
    </row>
    <row r="498" spans="5:11" x14ac:dyDescent="0.25">
      <c r="E498" s="1">
        <f t="shared" si="65"/>
        <v>976</v>
      </c>
      <c r="F498" s="1">
        <f t="shared" ca="1" si="70"/>
        <v>-74.98662587025143</v>
      </c>
      <c r="G498" s="1">
        <f t="shared" ca="1" si="67"/>
        <v>-3.9138297155652355E-2</v>
      </c>
      <c r="H498" s="1">
        <f t="shared" ca="1" si="63"/>
        <v>1.054292375264627E-3</v>
      </c>
      <c r="I498" s="1">
        <f t="shared" ca="1" si="68"/>
        <v>-74.985935355957437</v>
      </c>
      <c r="K498" s="1">
        <f t="shared" ca="1" si="64"/>
        <v>6.1040746432421437E-3</v>
      </c>
    </row>
    <row r="499" spans="5:11" x14ac:dyDescent="0.25">
      <c r="E499" s="1">
        <f t="shared" si="65"/>
        <v>978</v>
      </c>
      <c r="F499" s="1">
        <f t="shared" ca="1" si="70"/>
        <v>-75.064902464562735</v>
      </c>
      <c r="G499" s="1">
        <f t="shared" ca="1" si="67"/>
        <v>-3.7029712405123101E-2</v>
      </c>
      <c r="H499" s="1">
        <f t="shared" ca="1" si="63"/>
        <v>1.6447073650536354E-3</v>
      </c>
      <c r="I499" s="1">
        <f t="shared" ca="1" si="68"/>
        <v>-74.981272839870897</v>
      </c>
      <c r="K499" s="1">
        <f t="shared" ca="1" si="64"/>
        <v>4.6625160865452851E-3</v>
      </c>
    </row>
    <row r="500" spans="5:11" x14ac:dyDescent="0.25">
      <c r="E500" s="1">
        <f t="shared" si="65"/>
        <v>980</v>
      </c>
      <c r="F500" s="1">
        <f t="shared" ca="1" si="70"/>
        <v>-75.138961889372979</v>
      </c>
      <c r="G500" s="1">
        <f t="shared" ca="1" si="67"/>
        <v>-3.374029767501583E-2</v>
      </c>
      <c r="H500" s="1">
        <f t="shared" ca="1" si="63"/>
        <v>2.1592283130003817E-3</v>
      </c>
      <c r="I500" s="1">
        <f t="shared" ca="1" si="68"/>
        <v>-74.978065948948625</v>
      </c>
      <c r="K500" s="1">
        <f t="shared" ca="1" si="64"/>
        <v>3.2068909222655395E-3</v>
      </c>
    </row>
    <row r="501" spans="5:11" x14ac:dyDescent="0.25">
      <c r="E501" s="1">
        <f t="shared" si="65"/>
        <v>982</v>
      </c>
      <c r="F501" s="1">
        <f t="shared" ca="1" si="70"/>
        <v>-75.206442484723013</v>
      </c>
      <c r="G501" s="1">
        <f t="shared" ca="1" si="67"/>
        <v>-2.9421841049015067E-2</v>
      </c>
      <c r="H501" s="1">
        <f t="shared" ca="1" si="63"/>
        <v>2.566534380404308E-3</v>
      </c>
      <c r="I501" s="1">
        <f t="shared" ca="1" si="68"/>
        <v>-74.978490043660102</v>
      </c>
      <c r="K501" s="1">
        <f t="shared" ca="1" si="64"/>
        <v>-4.240947114797078E-4</v>
      </c>
    </row>
    <row r="502" spans="5:11" x14ac:dyDescent="0.25">
      <c r="E502" s="1">
        <f t="shared" si="65"/>
        <v>984</v>
      </c>
      <c r="F502" s="1">
        <f t="shared" ca="1" si="70"/>
        <v>-75.265286166821042</v>
      </c>
      <c r="G502" s="1">
        <f t="shared" ca="1" si="67"/>
        <v>-2.4288772288206452E-2</v>
      </c>
      <c r="H502" s="1">
        <f t="shared" ca="1" si="63"/>
        <v>2.8384502593687779E-3</v>
      </c>
      <c r="I502" s="1">
        <f t="shared" ca="1" si="68"/>
        <v>-74.984836017840934</v>
      </c>
      <c r="K502" s="1">
        <f t="shared" ca="1" si="64"/>
        <v>-6.3459741808293618E-3</v>
      </c>
    </row>
    <row r="503" spans="5:11" x14ac:dyDescent="0.25">
      <c r="E503" s="1">
        <f t="shared" si="65"/>
        <v>986</v>
      </c>
      <c r="F503" s="1">
        <f t="shared" ca="1" si="70"/>
        <v>-75.31386371139746</v>
      </c>
      <c r="G503" s="1">
        <f t="shared" ca="1" si="67"/>
        <v>-1.8611871769468897E-2</v>
      </c>
      <c r="H503" s="1">
        <f t="shared" ca="1" si="63"/>
        <v>3.018049631715211E-3</v>
      </c>
      <c r="I503" s="1">
        <f t="shared" ca="1" si="68"/>
        <v>-74.990882753923941</v>
      </c>
      <c r="K503" s="1">
        <f t="shared" ca="1" si="64"/>
        <v>-6.0467360830121341E-3</v>
      </c>
    </row>
    <row r="504" spans="5:11" x14ac:dyDescent="0.25">
      <c r="E504" s="1">
        <f t="shared" si="65"/>
        <v>988</v>
      </c>
      <c r="F504" s="1">
        <f t="shared" ca="1" si="70"/>
        <v>-75.35108745493639</v>
      </c>
      <c r="G504" s="1">
        <f t="shared" ca="1" si="67"/>
        <v>-1.2575772506038474E-2</v>
      </c>
      <c r="H504" s="1">
        <f t="shared" ca="1" si="63"/>
        <v>3.1366940590415184E-3</v>
      </c>
      <c r="I504" s="1">
        <f t="shared" ca="1" si="68"/>
        <v>-74.992156255464636</v>
      </c>
      <c r="K504" s="1">
        <f t="shared" ca="1" si="64"/>
        <v>-1.2735015407005501E-3</v>
      </c>
    </row>
    <row r="505" spans="5:11" x14ac:dyDescent="0.25">
      <c r="E505" s="1">
        <f t="shared" si="65"/>
        <v>990</v>
      </c>
      <c r="F505" s="1">
        <f t="shared" ca="1" si="70"/>
        <v>-75.37623899994847</v>
      </c>
      <c r="G505" s="1">
        <f t="shared" ca="1" si="67"/>
        <v>-6.3023843879554372E-3</v>
      </c>
      <c r="H505" s="1">
        <f t="shared" ca="1" si="63"/>
        <v>3.1575636695754684E-3</v>
      </c>
      <c r="I505" s="1">
        <f t="shared" ca="1" si="68"/>
        <v>-74.993077491233308</v>
      </c>
      <c r="K505" s="1">
        <f t="shared" ca="1" si="64"/>
        <v>-9.2123576867602752E-4</v>
      </c>
    </row>
    <row r="506" spans="5:11" x14ac:dyDescent="0.25">
      <c r="E506" s="1">
        <f t="shared" si="65"/>
        <v>992</v>
      </c>
      <c r="F506" s="1">
        <f t="shared" ca="1" si="70"/>
        <v>-75.388843768724385</v>
      </c>
      <c r="G506" s="1">
        <f t="shared" ca="1" si="67"/>
        <v>1.2742951195499584E-5</v>
      </c>
      <c r="H506" s="1">
        <f t="shared" ca="1" si="63"/>
        <v>3.1011768254651773E-3</v>
      </c>
      <c r="I506" s="1">
        <f t="shared" ca="1" si="68"/>
        <v>-74.991213212755511</v>
      </c>
      <c r="K506" s="1">
        <f t="shared" ca="1" si="64"/>
        <v>1.8642784777983734E-3</v>
      </c>
    </row>
    <row r="507" spans="5:11" x14ac:dyDescent="0.25">
      <c r="E507" s="1">
        <f t="shared" si="65"/>
        <v>994</v>
      </c>
      <c r="F507" s="1">
        <f t="shared" ref="F507:F510" ca="1" si="71">F506+G506*dt</f>
        <v>-75.388818282822001</v>
      </c>
      <c r="G507" s="1">
        <f t="shared" ca="1" si="67"/>
        <v>6.2150966021258542E-3</v>
      </c>
      <c r="H507" s="1">
        <f t="shared" ca="1" si="63"/>
        <v>3.0075543444930131E-3</v>
      </c>
      <c r="I507" s="1">
        <f t="shared" ca="1" si="68"/>
        <v>-74.981879958023285</v>
      </c>
      <c r="K507" s="1">
        <f t="shared" ca="1" si="64"/>
        <v>9.3332547322200615E-3</v>
      </c>
    </row>
    <row r="508" spans="5:11" x14ac:dyDescent="0.25">
      <c r="E508" s="1">
        <f t="shared" si="65"/>
        <v>996</v>
      </c>
      <c r="F508" s="1">
        <f t="shared" ca="1" si="71"/>
        <v>-75.376388089617748</v>
      </c>
      <c r="G508" s="1">
        <f t="shared" ca="1" si="67"/>
        <v>1.223020529111188E-2</v>
      </c>
      <c r="H508" s="1">
        <f t="shared" ca="1" si="63"/>
        <v>2.7600160965951326E-3</v>
      </c>
      <c r="I508" s="1">
        <f t="shared" ca="1" si="68"/>
        <v>-74.980518141105321</v>
      </c>
      <c r="K508" s="1">
        <f t="shared" ca="1" si="64"/>
        <v>1.3618169179622842E-3</v>
      </c>
    </row>
    <row r="509" spans="5:11" x14ac:dyDescent="0.25">
      <c r="E509" s="1">
        <f t="shared" si="65"/>
        <v>998</v>
      </c>
      <c r="F509" s="1">
        <f t="shared" ca="1" si="71"/>
        <v>-75.351927679035526</v>
      </c>
      <c r="G509" s="1">
        <f t="shared" ca="1" si="67"/>
        <v>1.7750237484302146E-2</v>
      </c>
      <c r="H509" s="1">
        <f t="shared" ca="1" si="63"/>
        <v>2.4925647098866456E-3</v>
      </c>
      <c r="I509" s="1">
        <f t="shared" ca="1" si="68"/>
        <v>-74.971380105386046</v>
      </c>
      <c r="K509" s="1">
        <f t="shared" ca="1" si="64"/>
        <v>9.1380357192681512E-3</v>
      </c>
    </row>
    <row r="510" spans="5:11" x14ac:dyDescent="0.25">
      <c r="E510" s="1">
        <f t="shared" si="65"/>
        <v>1000</v>
      </c>
      <c r="F510" s="1">
        <f t="shared" ca="1" si="71"/>
        <v>-75.316427204066926</v>
      </c>
      <c r="G510" s="1">
        <f t="shared" ca="1" si="67"/>
        <v>2.2735366904075436E-2</v>
      </c>
      <c r="H510" s="1">
        <f t="shared" ca="1" si="63"/>
        <v>2.0894497981681533E-3</v>
      </c>
      <c r="I510" s="1">
        <f t="shared" ca="1" si="68"/>
        <v>-74.970432635964698</v>
      </c>
      <c r="K510" s="1">
        <f t="shared" ca="1" si="64"/>
        <v>9.4746942135361058E-4</v>
      </c>
    </row>
  </sheetData>
  <pageMargins left="0.7" right="0.7" top="0.75" bottom="0.75" header="0.3" footer="0.3"/>
  <pageSetup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1"/>
  <sheetViews>
    <sheetView workbookViewId="0">
      <selection activeCell="B5" sqref="B5"/>
    </sheetView>
  </sheetViews>
  <sheetFormatPr defaultRowHeight="15" x14ac:dyDescent="0.25"/>
  <sheetData>
    <row r="1" spans="1:2" x14ac:dyDescent="0.25">
      <c r="A1" t="s">
        <v>63</v>
      </c>
    </row>
    <row r="2" spans="1:2" x14ac:dyDescent="0.25">
      <c r="A2" t="s">
        <v>67</v>
      </c>
    </row>
    <row r="3" spans="1:2" x14ac:dyDescent="0.25">
      <c r="A3" t="s">
        <v>64</v>
      </c>
      <c r="B3">
        <v>60</v>
      </c>
    </row>
    <row r="4" spans="1:2" x14ac:dyDescent="0.25">
      <c r="A4" t="s">
        <v>53</v>
      </c>
      <c r="B4">
        <v>25</v>
      </c>
    </row>
    <row r="6" spans="1:2" x14ac:dyDescent="0.25">
      <c r="A6" t="s">
        <v>21</v>
      </c>
      <c r="B6" t="s">
        <v>66</v>
      </c>
    </row>
    <row r="7" spans="1:2" x14ac:dyDescent="0.25">
      <c r="A7">
        <v>-30</v>
      </c>
      <c r="B7" s="8">
        <f>F0*(1/(A7-X0)+1/(A7+X0))</f>
        <v>0.55555555555555547</v>
      </c>
    </row>
    <row r="8" spans="1:2" x14ac:dyDescent="0.25">
      <c r="A8">
        <v>-29</v>
      </c>
      <c r="B8" s="8">
        <f>F0*(1/(A8-X0)+1/(A8+X0))</f>
        <v>0.52555273649873135</v>
      </c>
    </row>
    <row r="9" spans="1:2" x14ac:dyDescent="0.25">
      <c r="A9">
        <v>0</v>
      </c>
      <c r="B9" s="8">
        <f>F0*(1/(A9-X0)+1/(A9+X0))</f>
        <v>0</v>
      </c>
    </row>
    <row r="10" spans="1:2" x14ac:dyDescent="0.25">
      <c r="A10">
        <v>29</v>
      </c>
      <c r="B10" s="8">
        <f>F0*(1/(A10-X0)+1/(A10+X0))</f>
        <v>-0.52555273649873135</v>
      </c>
    </row>
    <row r="11" spans="1:2" x14ac:dyDescent="0.25">
      <c r="A11">
        <v>30</v>
      </c>
      <c r="B11" s="8">
        <f>F0*(1/(A11-X0)+1/(A11+X0))</f>
        <v>-0.55555555555555547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1"/>
  <sheetViews>
    <sheetView workbookViewId="0">
      <selection sqref="A1:D11"/>
    </sheetView>
  </sheetViews>
  <sheetFormatPr defaultRowHeight="15" x14ac:dyDescent="0.25"/>
  <sheetData>
    <row r="1" spans="1:4" x14ac:dyDescent="0.25">
      <c r="A1" t="s">
        <v>60</v>
      </c>
    </row>
    <row r="3" spans="1:4" x14ac:dyDescent="0.25">
      <c r="A3" s="9" t="s">
        <v>27</v>
      </c>
      <c r="B3" s="9" t="s">
        <v>61</v>
      </c>
      <c r="C3" s="9" t="s">
        <v>62</v>
      </c>
      <c r="D3" s="9"/>
    </row>
    <row r="4" spans="1:4" x14ac:dyDescent="0.25">
      <c r="A4" s="10" t="s">
        <v>3</v>
      </c>
      <c r="B4" s="10">
        <v>2</v>
      </c>
      <c r="C4" s="10">
        <v>5</v>
      </c>
    </row>
    <row r="5" spans="1:4" x14ac:dyDescent="0.25">
      <c r="A5" s="10" t="s">
        <v>5</v>
      </c>
      <c r="B5" s="10">
        <v>7.7999999999999996E-3</v>
      </c>
      <c r="C5">
        <v>6.6E-4</v>
      </c>
    </row>
    <row r="6" spans="1:4" x14ac:dyDescent="0.25">
      <c r="A6" s="10" t="s">
        <v>9</v>
      </c>
      <c r="B6">
        <v>2.6800000000000001E-2</v>
      </c>
      <c r="C6" s="10">
        <v>6.0499999999999998E-3</v>
      </c>
    </row>
    <row r="7" spans="1:4" x14ac:dyDescent="0.25">
      <c r="A7" s="10" t="s">
        <v>65</v>
      </c>
      <c r="B7" s="10">
        <v>-75</v>
      </c>
      <c r="C7" s="10">
        <v>65</v>
      </c>
      <c r="D7" t="s">
        <v>70</v>
      </c>
    </row>
    <row r="8" spans="1:4" x14ac:dyDescent="0.25">
      <c r="A8" s="10"/>
      <c r="B8" s="10"/>
      <c r="C8" s="10"/>
    </row>
    <row r="9" spans="1:4" x14ac:dyDescent="0.25">
      <c r="A9" s="10" t="s">
        <v>69</v>
      </c>
      <c r="B9" s="10">
        <v>31</v>
      </c>
    </row>
    <row r="10" spans="1:4" x14ac:dyDescent="0.25">
      <c r="A10" s="10" t="s">
        <v>68</v>
      </c>
      <c r="B10" s="10">
        <v>60</v>
      </c>
    </row>
    <row r="11" spans="1:4" x14ac:dyDescent="0.25">
      <c r="A11" s="10" t="s">
        <v>71</v>
      </c>
      <c r="B11" s="10">
        <v>25</v>
      </c>
      <c r="C11" t="s">
        <v>72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35"/>
  <sheetViews>
    <sheetView topLeftCell="A8" workbookViewId="0">
      <selection activeCell="A35" sqref="A35"/>
    </sheetView>
  </sheetViews>
  <sheetFormatPr defaultRowHeight="15" x14ac:dyDescent="0.25"/>
  <cols>
    <col min="2" max="2" width="12" bestFit="1" customWidth="1"/>
    <col min="4" max="4" width="17.7109375" customWidth="1"/>
    <col min="5" max="5" width="11.7109375" customWidth="1"/>
  </cols>
  <sheetData>
    <row r="1" spans="1:5" x14ac:dyDescent="0.25">
      <c r="A1" t="s">
        <v>26</v>
      </c>
    </row>
    <row r="3" spans="1:5" x14ac:dyDescent="0.25">
      <c r="A3" s="3" t="s">
        <v>27</v>
      </c>
      <c r="B3" s="3" t="s">
        <v>28</v>
      </c>
      <c r="C3" s="3" t="s">
        <v>29</v>
      </c>
      <c r="D3" s="3" t="s">
        <v>30</v>
      </c>
      <c r="E3" s="3" t="s">
        <v>31</v>
      </c>
    </row>
    <row r="4" spans="1:5" x14ac:dyDescent="0.25">
      <c r="A4" t="s">
        <v>32</v>
      </c>
      <c r="B4">
        <v>0.13500000000000001</v>
      </c>
      <c r="C4" t="s">
        <v>33</v>
      </c>
      <c r="D4" t="s">
        <v>34</v>
      </c>
      <c r="E4" t="s">
        <v>35</v>
      </c>
    </row>
    <row r="5" spans="1:5" x14ac:dyDescent="0.25">
      <c r="A5" t="s">
        <v>36</v>
      </c>
      <c r="B5">
        <v>3.5000000000000003E-2</v>
      </c>
      <c r="C5" t="s">
        <v>33</v>
      </c>
      <c r="D5" t="s">
        <v>37</v>
      </c>
    </row>
    <row r="6" spans="1:5" x14ac:dyDescent="0.25">
      <c r="A6" t="s">
        <v>38</v>
      </c>
      <c r="B6">
        <v>1.05</v>
      </c>
      <c r="C6" t="s">
        <v>6</v>
      </c>
    </row>
    <row r="7" spans="1:5" x14ac:dyDescent="0.25">
      <c r="A7" t="s">
        <v>39</v>
      </c>
      <c r="B7">
        <v>2.5499999999999998E-2</v>
      </c>
      <c r="C7" t="s">
        <v>40</v>
      </c>
    </row>
    <row r="8" spans="1:5" x14ac:dyDescent="0.25">
      <c r="A8" t="s">
        <v>41</v>
      </c>
      <c r="B8" s="7">
        <f>0.0000000000667</f>
        <v>6.67E-11</v>
      </c>
      <c r="C8" t="s">
        <v>42</v>
      </c>
    </row>
    <row r="9" spans="1:5" x14ac:dyDescent="0.25">
      <c r="A9" t="s">
        <v>43</v>
      </c>
      <c r="B9">
        <v>2.8299999999999999E-2</v>
      </c>
      <c r="C9" t="s">
        <v>33</v>
      </c>
      <c r="D9" t="s">
        <v>44</v>
      </c>
    </row>
    <row r="10" spans="1:5" x14ac:dyDescent="0.25">
      <c r="A10" t="s">
        <v>45</v>
      </c>
      <c r="B10">
        <v>6.7499999999999999E-3</v>
      </c>
      <c r="C10" t="s">
        <v>33</v>
      </c>
      <c r="D10" t="s">
        <v>46</v>
      </c>
    </row>
    <row r="12" spans="1:5" x14ac:dyDescent="0.25">
      <c r="A12" t="s">
        <v>47</v>
      </c>
    </row>
    <row r="13" spans="1:5" x14ac:dyDescent="0.25">
      <c r="A13" t="s">
        <v>48</v>
      </c>
      <c r="B13">
        <f>RRR+rr+w/2</f>
        <v>5.2549999999999999E-2</v>
      </c>
      <c r="C13" t="s">
        <v>33</v>
      </c>
      <c r="D13" t="s">
        <v>49</v>
      </c>
    </row>
    <row r="14" spans="1:5" x14ac:dyDescent="0.25">
      <c r="A14" t="s">
        <v>50</v>
      </c>
      <c r="B14" s="8">
        <f>1000*2*M*G/(s^2*Omga^2*L)</f>
        <v>1.3025515216980037</v>
      </c>
      <c r="C14" t="s">
        <v>51</v>
      </c>
      <c r="D14" t="s">
        <v>52</v>
      </c>
    </row>
    <row r="22" spans="1:3" x14ac:dyDescent="0.25">
      <c r="A22" t="s">
        <v>54</v>
      </c>
    </row>
    <row r="23" spans="1:3" x14ac:dyDescent="0.25">
      <c r="A23" t="s">
        <v>57</v>
      </c>
    </row>
    <row r="24" spans="1:3" x14ac:dyDescent="0.25">
      <c r="A24" t="s">
        <v>55</v>
      </c>
      <c r="B24" t="s">
        <v>56</v>
      </c>
    </row>
    <row r="25" spans="1:3" x14ac:dyDescent="0.25">
      <c r="A25">
        <v>0</v>
      </c>
      <c r="B25" s="1">
        <f>TAN(1.57*A25)</f>
        <v>0</v>
      </c>
      <c r="C25" s="1">
        <f t="shared" ref="C25:C33" si="0">1.3*B25/2.41</f>
        <v>0</v>
      </c>
    </row>
    <row r="26" spans="1:3" x14ac:dyDescent="0.25">
      <c r="A26">
        <v>0.1</v>
      </c>
      <c r="B26" s="1">
        <f t="shared" ref="B26:B34" si="1">TAN(1.57*A26)</f>
        <v>0.15830281103842161</v>
      </c>
      <c r="C26" s="1">
        <f t="shared" si="0"/>
        <v>8.5391557821555233E-2</v>
      </c>
    </row>
    <row r="27" spans="1:3" x14ac:dyDescent="0.25">
      <c r="A27">
        <v>0.2</v>
      </c>
      <c r="B27" s="1">
        <f t="shared" si="1"/>
        <v>0.32474362589248207</v>
      </c>
      <c r="C27" s="1">
        <f t="shared" si="0"/>
        <v>0.17517291023245921</v>
      </c>
    </row>
    <row r="28" spans="1:3" x14ac:dyDescent="0.25">
      <c r="A28">
        <v>0.30000000000000004</v>
      </c>
      <c r="B28" s="1">
        <f t="shared" si="1"/>
        <v>0.50922456627809765</v>
      </c>
      <c r="C28" s="1">
        <f t="shared" si="0"/>
        <v>0.27468545068943023</v>
      </c>
    </row>
    <row r="29" spans="1:3" x14ac:dyDescent="0.25">
      <c r="A29">
        <v>0.4</v>
      </c>
      <c r="B29" s="1">
        <f t="shared" si="1"/>
        <v>0.72605596896017677</v>
      </c>
      <c r="C29" s="1">
        <f t="shared" si="0"/>
        <v>0.39164844798681731</v>
      </c>
    </row>
    <row r="30" spans="1:3" x14ac:dyDescent="0.25">
      <c r="A30">
        <v>0.5</v>
      </c>
      <c r="B30" s="1">
        <f t="shared" si="1"/>
        <v>0.99920399010504268</v>
      </c>
      <c r="C30" s="1">
        <f t="shared" si="0"/>
        <v>0.53898970420603964</v>
      </c>
    </row>
    <row r="31" spans="1:3" x14ac:dyDescent="0.25">
      <c r="A31">
        <v>0.60000000000000009</v>
      </c>
      <c r="B31" s="1">
        <f t="shared" si="1"/>
        <v>1.3749998832781198</v>
      </c>
      <c r="C31" s="1">
        <f t="shared" si="0"/>
        <v>0.74170118185126799</v>
      </c>
    </row>
    <row r="32" spans="1:3" x14ac:dyDescent="0.25">
      <c r="A32">
        <v>0.70000000000000007</v>
      </c>
      <c r="B32" s="1">
        <f t="shared" si="1"/>
        <v>1.9599089056819694</v>
      </c>
      <c r="C32" s="1">
        <f t="shared" si="0"/>
        <v>1.0572122727745061</v>
      </c>
    </row>
    <row r="33" spans="1:3" x14ac:dyDescent="0.25">
      <c r="A33">
        <v>0.74</v>
      </c>
      <c r="B33" s="1">
        <f t="shared" si="1"/>
        <v>2.3071326338533713</v>
      </c>
      <c r="C33" s="1">
        <f t="shared" si="0"/>
        <v>1.2445113792570053</v>
      </c>
    </row>
    <row r="34" spans="1:3" x14ac:dyDescent="0.25">
      <c r="A34">
        <v>0.75</v>
      </c>
      <c r="B34" s="1">
        <f t="shared" si="1"/>
        <v>2.4101411891362279</v>
      </c>
      <c r="C34" s="1">
        <f>1.3*B34/2.41</f>
        <v>1.3000761601149775</v>
      </c>
    </row>
    <row r="35" spans="1:3" x14ac:dyDescent="0.25">
      <c r="B35" s="1"/>
      <c r="C35" s="1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Euler</vt:lpstr>
      <vt:lpstr>Macro</vt:lpstr>
      <vt:lpstr>F(q)</vt:lpstr>
      <vt:lpstr>Settings</vt:lpstr>
      <vt:lpstr>Params</vt:lpstr>
      <vt:lpstr>b</vt:lpstr>
      <vt:lpstr>bb</vt:lpstr>
      <vt:lpstr>dt</vt:lpstr>
      <vt:lpstr>F0</vt:lpstr>
      <vt:lpstr>G</vt:lpstr>
      <vt:lpstr>k</vt:lpstr>
      <vt:lpstr>L</vt:lpstr>
      <vt:lpstr>Params!M</vt:lpstr>
      <vt:lpstr>m</vt:lpstr>
      <vt:lpstr>MyDat</vt:lpstr>
      <vt:lpstr>NoiseAmp</vt:lpstr>
      <vt:lpstr>Omga</vt:lpstr>
      <vt:lpstr>Push</vt:lpstr>
      <vt:lpstr>rr</vt:lpstr>
      <vt:lpstr>RRR</vt:lpstr>
      <vt:lpstr>s</vt:lpstr>
      <vt:lpstr>Val</vt:lpstr>
      <vt:lpstr>Var</vt:lpstr>
      <vt:lpstr>w</vt:lpstr>
      <vt:lpstr>X0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</dc:creator>
  <cp:lastModifiedBy>Raakesh Suresh Kumar</cp:lastModifiedBy>
  <dcterms:created xsi:type="dcterms:W3CDTF">2019-03-21T00:20:41Z</dcterms:created>
  <dcterms:modified xsi:type="dcterms:W3CDTF">2020-09-29T19:32:41Z</dcterms:modified>
</cp:coreProperties>
</file>